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or Export P&amp;L" sheetId="1" r:id="rId5"/>
    <sheet state="visible" name="P&amp;L 2026 - 2029" sheetId="2" r:id="rId6"/>
    <sheet state="visible" name="P&amp;L 2026" sheetId="3" r:id="rId7"/>
    <sheet state="visible" name=" P&amp;L 2027" sheetId="4" r:id="rId8"/>
    <sheet state="visible" name="P&amp;L 2028" sheetId="5" r:id="rId9"/>
    <sheet state="visible" name="P&amp;L 2029" sheetId="6" r:id="rId10"/>
    <sheet state="visible" name="P&amp;L 2026 - Monthly Breakdown " sheetId="7" r:id="rId11"/>
    <sheet state="visible" name="P&amp;L 2027 - Monthly Breakdown 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tc={3e8f6cbc-b76d-4aa5-9ea3-8d7f2d0e1d12}</author>
  </authors>
  <commentList>
    <comment authorId="0" xr:uid="{3e8f6cbc-b76d-4aa5-9ea3-8d7f2d0e1d12}" ref="C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Tỷ giá VCB bán chuyển khoản vcb ngày 17.3.26: 18.856 VND/AUD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tc={5c92c5c0-37c7-430d-aee2-1ce63d58cbc5}</author>
  </authors>
  <commentList>
    <comment authorId="0" xr:uid="{5c92c5c0-37c7-430d-aee2-1ce63d58cbc5}" ref="A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Estimated salaries for the CEO and employees are Gross salaries, which include the statutory insurance contributions payable by the company to the State.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tc={82f438a7-770a-413e-9c90-651d1e469f8a}</author>
    <author>tc={fd8cfb00-e55f-45fb-be98-885322384b70}</author>
  </authors>
  <commentList>
    <comment authorId="0" xr:uid="{82f438a7-770a-413e-9c90-651d1e469f8a}" ref="J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Upon signing the contract in January for 72 students, a 40% commission will be received. The remaining 60% will be paid 7 months later once the students arrive in Australia, based on an intake of 6 students per month. Starting from Month 7 of each year, the cash flow is projected to include the 60% commission for 6 students monthly, with the remaining balance carried over for the first 6 months of the following year.
</t>
      </text>
    </comment>
    <comment authorId="1" xr:uid="{fd8cfb00-e55f-45fb-be98-885322384b70}" ref="D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Upon contract signing at the beginning of the year, a 40% commission shall be paid. The remaining 60% will be received 7 months later, with the commission calculated
</t>
      </text>
    </comment>
  </commentList>
</comments>
</file>

<file path=xl/sharedStrings.xml><?xml version="1.0" encoding="utf-8"?>
<sst xmlns="http://schemas.openxmlformats.org/spreadsheetml/2006/main" count="496" uniqueCount="110">
  <si>
    <t>VIEC VUI COMPANY</t>
  </si>
  <si>
    <t>P&amp;L Forecast</t>
  </si>
  <si>
    <t>Currency</t>
  </si>
  <si>
    <t>USD</t>
  </si>
  <si>
    <t>Rate: USD/VND</t>
  </si>
  <si>
    <t>Rate: AUD/VND</t>
  </si>
  <si>
    <t>Revenue Categories</t>
  </si>
  <si>
    <t>Quantity</t>
  </si>
  <si>
    <t>Per Unit</t>
  </si>
  <si>
    <t>Annual Total</t>
  </si>
  <si>
    <t>Annual Total VND</t>
  </si>
  <si>
    <r>
      <rPr>
        <rFont val="Arial"/>
        <color theme="1"/>
      </rPr>
      <t xml:space="preserve">Nurse Training Fees </t>
    </r>
    <r>
      <rPr>
        <rFont val="Arial"/>
        <color rgb="FFFF0000"/>
      </rPr>
      <t>(65 Students)</t>
    </r>
  </si>
  <si>
    <t>8 thang dau chua co doanh thu, 4 thang sau 6 bạn 1 tháng (when start?), năm sau sẽ là 65 bạn</t>
  </si>
  <si>
    <t>Placement Commissions (65 Placements)</t>
  </si>
  <si>
    <t>sẽ tính dòng tiền theo thời gian học, có thể họ sẽ ứng cho mình 40% cho 100 người khi ký hợp đồng, visa 3.5 cộng thời gian học 3.5 tháng. Khi ký được 40%, 7 tháng sau thì được hoa hồng</t>
  </si>
  <si>
    <t>Service package fee (excluding visa fee)</t>
  </si>
  <si>
    <t>English + ielts 5.5_PTE 42 (including test fee)</t>
  </si>
  <si>
    <t>Value Added Tax of Placement Commissions 10%</t>
  </si>
  <si>
    <t>Vietnam</t>
  </si>
  <si>
    <t>từ 2027 sẽ có doanh thu</t>
  </si>
  <si>
    <t>Total Revenue</t>
  </si>
  <si>
    <t>Thi truong tang 20% moi nam</t>
  </si>
  <si>
    <t>Direct Costs (COGS)</t>
  </si>
  <si>
    <t>Australian RTO Licensing/Accreditation</t>
  </si>
  <si>
    <t>Each student shall pay 2,500 AUD to the partner</t>
  </si>
  <si>
    <t>Lead Trainer Assessment (AU Qualified)</t>
  </si>
  <si>
    <t>English course IELTS 5.5/PTE 42 package (including test fee) shall be paid to 8A</t>
  </si>
  <si>
    <t>Local Vietnamese Clinical Support Staff</t>
  </si>
  <si>
    <t>Training Materials &amp; Simulation Lab Ops</t>
  </si>
  <si>
    <t>Nursing Home Placements</t>
  </si>
  <si>
    <t>Total COGS</t>
  </si>
  <si>
    <t>Gross Profit</t>
  </si>
  <si>
    <t>Operating Expenses (OPEX)</t>
  </si>
  <si>
    <t>CEO</t>
  </si>
  <si>
    <t>Gross + 1 satff năm 2</t>
  </si>
  <si>
    <t>Marketing &amp; Student Sourcing (VN)_Phong</t>
  </si>
  <si>
    <t>AU Business Development (Ben Van Leirop?)</t>
  </si>
  <si>
    <t>Rent &amp; Utilities (HCMC/Hanoi Facility)</t>
  </si>
  <si>
    <t>Legal &amp; Migration Compliance Fees</t>
  </si>
  <si>
    <t>ser</t>
  </si>
  <si>
    <t xml:space="preserve"> Support Staff</t>
  </si>
  <si>
    <t xml:space="preserve">Gross, 8 tháng năm đầu  thưởng 1 thang </t>
  </si>
  <si>
    <t>Admin_Phương</t>
  </si>
  <si>
    <t>Gross + staff năm</t>
  </si>
  <si>
    <t>Other fee + event</t>
  </si>
  <si>
    <t>1000 USD/tháng</t>
  </si>
  <si>
    <t>Tính thêm dự phòng 50tr/năm, chi phí dịch thuật, công chứng hồ sơ cho học viên. Khoảng 3tr/bộ</t>
  </si>
  <si>
    <t>Total OPEX</t>
  </si>
  <si>
    <t>EBITDA</t>
  </si>
  <si>
    <t>Interest Expense</t>
  </si>
  <si>
    <t>Earnings Before Taxes</t>
  </si>
  <si>
    <t>Income Taxes (CIT 20%)</t>
  </si>
  <si>
    <t>Net Earnings</t>
  </si>
  <si>
    <t>mỗi tháng + công chi phi thi truong</t>
  </si>
  <si>
    <t>Co the ngay tu dau phai co 3.5 tỷ</t>
  </si>
  <si>
    <t>Tháng 5 2026 bắt đầu - 2026 sẽ lỗ 8 tháng, và cần tính lỗ lũy kế</t>
  </si>
  <si>
    <t>(2026 - Dec 2029)</t>
  </si>
  <si>
    <t>Categories</t>
  </si>
  <si>
    <t>General Information</t>
  </si>
  <si>
    <t>Number of students</t>
  </si>
  <si>
    <t>Estimated annual student growth rate</t>
  </si>
  <si>
    <t>The placement commission earned per student is 5,000 AUD</t>
  </si>
  <si>
    <t xml:space="preserve">Marketing &amp; Student Sourcing </t>
  </si>
  <si>
    <t>Admin</t>
  </si>
  <si>
    <t>Support Staff</t>
  </si>
  <si>
    <t>2026: No salary increase or bonus, 2027: +1 month bonus; 2028 onwards : +1 month bonus +10% base salary increasent</t>
  </si>
  <si>
    <t>Revenue</t>
  </si>
  <si>
    <t xml:space="preserve">Nurse Training Fees </t>
  </si>
  <si>
    <t xml:space="preserve">Placement Commissions </t>
  </si>
  <si>
    <t>English fee + ielts 5.5_PTE 42 (including test fee)</t>
  </si>
  <si>
    <t>Document Translation &amp; Notarization Fee</t>
  </si>
  <si>
    <t>waiting information from Ms. Hong</t>
  </si>
  <si>
    <t>Event fee</t>
  </si>
  <si>
    <t>Contingency cost</t>
  </si>
  <si>
    <t>Loss carry-forward</t>
  </si>
  <si>
    <t>Accumulated Net Earnings</t>
  </si>
  <si>
    <t>Sum of 2026</t>
  </si>
  <si>
    <t>Sum of 2027</t>
  </si>
  <si>
    <t>Sum of 2028</t>
  </si>
  <si>
    <t>Sum of 2029</t>
  </si>
  <si>
    <t>$ -</t>
  </si>
  <si>
    <t>(May 2026 - Dec 2026)</t>
  </si>
  <si>
    <t>Information/Quantity</t>
  </si>
  <si>
    <t>Number of students_2026</t>
  </si>
  <si>
    <t>check</t>
  </si>
  <si>
    <t>( Jan 2027 - Dec 2027)</t>
  </si>
  <si>
    <t>Number of students_2027</t>
  </si>
  <si>
    <t>( Jan 2028- Dec 2028)</t>
  </si>
  <si>
    <t>( Jan 2029- Dec 2029)</t>
  </si>
  <si>
    <t>Number of students_2028</t>
  </si>
  <si>
    <t>May</t>
  </si>
  <si>
    <t>June</t>
  </si>
  <si>
    <t>July</t>
  </si>
  <si>
    <t>Augs</t>
  </si>
  <si>
    <t>Sep</t>
  </si>
  <si>
    <t>Oct</t>
  </si>
  <si>
    <t>Nov</t>
  </si>
  <si>
    <t>Dec</t>
  </si>
  <si>
    <t>Employee salaries are projected to increase annually</t>
  </si>
  <si>
    <t>Awaiting information from Ms. Hong</t>
  </si>
  <si>
    <t>Jan</t>
  </si>
  <si>
    <t>Feb</t>
  </si>
  <si>
    <t>March</t>
  </si>
  <si>
    <t>April</t>
  </si>
  <si>
    <t>Check</t>
  </si>
  <si>
    <t>Estimated 6 students per month from 2027</t>
  </si>
  <si>
    <t>Upon contract signing at the beginning of the year, a 40% commission shall be paid. The remaining 60% will be received 7 months later, with the commission calculated accordingly based on this timeline</t>
  </si>
  <si>
    <t>ok</t>
  </si>
  <si>
    <t>VAT gối đầu 6 tháng</t>
  </si>
  <si>
    <t>ok khoản doanh thu và thuế VAT của hoa hồng sẽ đóng vào 6 tháng sau của năm 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</si>
</sst>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sz val="14.0"/>
      <color rgb="FF0A0A0A"/>
      <name val="&quot;Google Sans&quot;"/>
    </font>
    <font>
      <b/>
      <color theme="1"/>
      <name val="Arial"/>
      <scheme val="minor"/>
    </font>
    <font>
      <color rgb="FFFF0000"/>
      <name val="Arial"/>
      <scheme val="minor"/>
    </font>
    <font>
      <b/>
      <sz val="12.0"/>
      <color theme="1"/>
      <name val="Arial"/>
      <scheme val="minor"/>
    </font>
    <font>
      <color rgb="FFFFFFFF"/>
      <name val="Arial"/>
    </font>
    <font>
      <color rgb="FF000000"/>
      <name val="Arial"/>
    </font>
    <font>
      <b/>
      <color rgb="FF000000"/>
      <name val="Arial"/>
    </font>
    <font>
      <sz val="12.0"/>
      <color theme="1"/>
      <name val="Arial"/>
      <scheme val="minor"/>
    </font>
    <font>
      <sz val="9.0"/>
      <color theme="1"/>
      <name val="Google Sans Mono"/>
    </font>
    <font>
      <color rgb="FF000000"/>
      <name val="Arial"/>
      <scheme val="minor"/>
    </font>
    <font>
      <b/>
      <color rgb="FFFF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D5ADB"/>
        <bgColor rgb="FF0D5ADB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D9E7FD"/>
      </bottom>
    </border>
    <border>
      <bottom style="thin">
        <color rgb="FFB3CEFB"/>
      </bottom>
    </border>
    <border>
      <top style="thin">
        <color rgb="FFD9E7FD"/>
      </top>
      <bottom style="thin">
        <color rgb="FFD9E7FD"/>
      </bottom>
    </border>
    <border>
      <top style="thin">
        <color rgb="FFD9E7FD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3" xfId="0" applyFont="1" applyNumberFormat="1"/>
    <xf borderId="0" fillId="2" fontId="3" numFmtId="0" xfId="0" applyAlignment="1" applyFill="1" applyFont="1">
      <alignment horizontal="center" readingOrder="0"/>
    </xf>
    <xf borderId="0" fillId="0" fontId="2" numFmtId="3" xfId="0" applyAlignment="1" applyFont="1" applyNumberFormat="1">
      <alignment horizontal="right" readingOrder="0"/>
    </xf>
    <xf borderId="0" fillId="0" fontId="4" numFmtId="0" xfId="0" applyAlignment="1" applyFont="1">
      <alignment horizontal="center" readingOrder="0"/>
    </xf>
    <xf borderId="0" fillId="0" fontId="4" numFmtId="3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5" numFmtId="3" xfId="0" applyFont="1" applyNumberFormat="1"/>
    <xf borderId="0" fillId="0" fontId="4" numFmtId="0" xfId="0" applyAlignment="1" applyFont="1">
      <alignment readingOrder="0"/>
    </xf>
    <xf borderId="0" fillId="0" fontId="4" numFmtId="3" xfId="0" applyFont="1" applyNumberFormat="1"/>
    <xf borderId="0" fillId="0" fontId="4" numFmtId="0" xfId="0" applyFont="1"/>
    <xf borderId="0" fillId="0" fontId="4" numFmtId="164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2" fontId="4" numFmtId="3" xfId="0" applyFont="1" applyNumberFormat="1"/>
    <xf borderId="0" fillId="2" fontId="4" numFmtId="0" xfId="0" applyFont="1"/>
    <xf borderId="0" fillId="2" fontId="2" numFmtId="164" xfId="0" applyAlignment="1" applyFont="1" applyNumberFormat="1">
      <alignment readingOrder="0"/>
    </xf>
    <xf borderId="0" fillId="2" fontId="2" numFmtId="3" xfId="0" applyFont="1" applyNumberFormat="1"/>
    <xf borderId="0" fillId="2" fontId="2" numFmtId="0" xfId="0" applyAlignment="1" applyFont="1">
      <alignment readingOrder="0"/>
    </xf>
    <xf borderId="0" fillId="2" fontId="2" numFmtId="3" xfId="0" applyAlignment="1" applyFont="1" applyNumberFormat="1">
      <alignment readingOrder="0"/>
    </xf>
    <xf borderId="0" fillId="2" fontId="2" numFmtId="0" xfId="0" applyFont="1"/>
    <xf borderId="0" fillId="0" fontId="2" numFmtId="0" xfId="0" applyAlignment="1" applyFont="1">
      <alignment horizontal="left" readingOrder="0" shrinkToFit="0" vertical="center" wrapText="1"/>
    </xf>
    <xf borderId="0" fillId="2" fontId="4" numFmtId="164" xfId="0" applyAlignment="1" applyFont="1" applyNumberFormat="1">
      <alignment readingOrder="0"/>
    </xf>
    <xf borderId="0" fillId="0" fontId="5" numFmtId="164" xfId="0" applyFont="1" applyNumberFormat="1"/>
    <xf borderId="1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/>
    </xf>
    <xf borderId="5" fillId="0" fontId="2" numFmtId="164" xfId="0" applyAlignment="1" applyBorder="1" applyFont="1" applyNumberFormat="1">
      <alignment readingOrder="0"/>
    </xf>
    <xf borderId="4" fillId="0" fontId="2" numFmtId="0" xfId="0" applyAlignment="1" applyBorder="1" applyFont="1">
      <alignment readingOrder="0"/>
    </xf>
    <xf borderId="5" fillId="0" fontId="2" numFmtId="3" xfId="0" applyAlignment="1" applyBorder="1" applyFont="1" applyNumberFormat="1">
      <alignment readingOrder="0"/>
    </xf>
    <xf borderId="0" fillId="0" fontId="2" numFmtId="9" xfId="0" applyAlignment="1" applyFont="1" applyNumberFormat="1">
      <alignment readingOrder="0"/>
    </xf>
    <xf borderId="5" fillId="0" fontId="2" numFmtId="9" xfId="0" applyAlignment="1" applyBorder="1" applyFont="1" applyNumberFormat="1">
      <alignment readingOrder="0"/>
    </xf>
    <xf borderId="4" fillId="0" fontId="2" numFmtId="0" xfId="0" applyAlignment="1" applyBorder="1" applyFont="1">
      <alignment horizontal="left" readingOrder="0" shrinkToFit="0" vertical="center" wrapText="1"/>
    </xf>
    <xf borderId="5" fillId="0" fontId="4" numFmtId="164" xfId="0" applyAlignment="1" applyBorder="1" applyFont="1" applyNumberFormat="1">
      <alignment readingOrder="0"/>
    </xf>
    <xf borderId="4" fillId="0" fontId="2" numFmtId="0" xfId="0" applyBorder="1" applyFont="1"/>
    <xf borderId="4" fillId="0" fontId="5" numFmtId="0" xfId="0" applyAlignment="1" applyBorder="1" applyFont="1">
      <alignment readingOrder="0"/>
    </xf>
    <xf borderId="5" fillId="0" fontId="5" numFmtId="164" xfId="0" applyAlignment="1" applyBorder="1" applyFont="1" applyNumberFormat="1">
      <alignment readingOrder="0"/>
    </xf>
    <xf borderId="6" fillId="0" fontId="4" numFmtId="0" xfId="0" applyAlignment="1" applyBorder="1" applyFont="1">
      <alignment readingOrder="0"/>
    </xf>
    <xf borderId="7" fillId="0" fontId="6" numFmtId="0" xfId="0" applyAlignment="1" applyBorder="1" applyFont="1">
      <alignment readingOrder="0"/>
    </xf>
    <xf borderId="8" fillId="0" fontId="4" numFmtId="164" xfId="0" applyAlignment="1" applyBorder="1" applyFont="1" applyNumberFormat="1">
      <alignment readingOrder="0"/>
    </xf>
    <xf borderId="9" fillId="0" fontId="4" numFmtId="164" xfId="0" applyAlignment="1" applyBorder="1" applyFont="1" applyNumberFormat="1">
      <alignment readingOrder="0"/>
    </xf>
    <xf borderId="10" fillId="3" fontId="7" numFmtId="0" xfId="0" applyAlignment="1" applyBorder="1" applyFill="1" applyFont="1">
      <alignment horizontal="center" readingOrder="0" shrinkToFit="0" vertical="bottom" wrapText="0"/>
    </xf>
    <xf borderId="11" fillId="3" fontId="7" numFmtId="0" xfId="0" applyAlignment="1" applyBorder="1" applyFont="1">
      <alignment horizontal="center" readingOrder="0" shrinkToFit="0" vertical="bottom" wrapText="0"/>
    </xf>
    <xf borderId="12" fillId="0" fontId="8" numFmtId="0" xfId="0" applyAlignment="1" applyBorder="1" applyFont="1">
      <alignment horizontal="left" readingOrder="0" shrinkToFit="0" vertical="bottom" wrapText="0"/>
    </xf>
    <xf borderId="12" fillId="0" fontId="8" numFmtId="164" xfId="0" applyAlignment="1" applyBorder="1" applyFont="1" applyNumberFormat="1">
      <alignment horizontal="right" readingOrder="0" shrinkToFit="0" vertical="bottom" wrapText="0"/>
    </xf>
    <xf borderId="13" fillId="0" fontId="9" numFmtId="0" xfId="0" applyAlignment="1" applyBorder="1" applyFont="1">
      <alignment horizontal="left" readingOrder="0" shrinkToFit="0" vertical="bottom" wrapText="0"/>
    </xf>
    <xf borderId="12" fillId="0" fontId="9" numFmtId="164" xfId="0" applyAlignment="1" applyBorder="1" applyFont="1" applyNumberFormat="1">
      <alignment horizontal="right" readingOrder="0" shrinkToFit="0" vertical="bottom" wrapText="0"/>
    </xf>
    <xf borderId="5" fillId="0" fontId="2" numFmtId="0" xfId="0" applyBorder="1" applyFont="1"/>
    <xf borderId="5" fillId="2" fontId="4" numFmtId="0" xfId="0" applyBorder="1" applyFont="1"/>
    <xf borderId="5" fillId="2" fontId="2" numFmtId="164" xfId="0" applyAlignment="1" applyBorder="1" applyFont="1" applyNumberFormat="1">
      <alignment readingOrder="0"/>
    </xf>
    <xf borderId="0" fillId="2" fontId="5" numFmtId="164" xfId="0" applyAlignment="1" applyFont="1" applyNumberFormat="1">
      <alignment readingOrder="0"/>
    </xf>
    <xf borderId="5" fillId="2" fontId="5" numFmtId="164" xfId="0" applyAlignment="1" applyBorder="1" applyFont="1" applyNumberFormat="1">
      <alignment readingOrder="0"/>
    </xf>
    <xf borderId="0" fillId="0" fontId="5" numFmtId="0" xfId="0" applyAlignment="1" applyFont="1">
      <alignment horizontal="left" readingOrder="0" shrinkToFit="0" vertical="center" wrapText="1"/>
    </xf>
    <xf borderId="5" fillId="2" fontId="4" numFmtId="164" xfId="0" applyAlignment="1" applyBorder="1" applyFont="1" applyNumberFormat="1">
      <alignment readingOrder="0"/>
    </xf>
    <xf borderId="5" fillId="0" fontId="4" numFmtId="0" xfId="0" applyBorder="1" applyFont="1"/>
    <xf borderId="5" fillId="0" fontId="5" numFmtId="164" xfId="0" applyBorder="1" applyFont="1" applyNumberFormat="1"/>
    <xf borderId="14" fillId="0" fontId="4" numFmtId="3" xfId="0" applyBorder="1" applyFont="1" applyNumberFormat="1"/>
    <xf borderId="14" fillId="0" fontId="4" numFmtId="0" xfId="0" applyBorder="1" applyFont="1"/>
    <xf borderId="15" fillId="0" fontId="4" numFmtId="164" xfId="0" applyAlignment="1" applyBorder="1" applyFont="1" applyNumberFormat="1">
      <alignment readingOrder="0"/>
    </xf>
    <xf borderId="6" fillId="0" fontId="6" numFmtId="0" xfId="0" applyAlignment="1" applyBorder="1" applyFont="1">
      <alignment readingOrder="0"/>
    </xf>
    <xf borderId="14" fillId="0" fontId="6" numFmtId="3" xfId="0" applyBorder="1" applyFont="1" applyNumberFormat="1"/>
    <xf borderId="14" fillId="0" fontId="6" numFmtId="0" xfId="0" applyBorder="1" applyFont="1"/>
    <xf borderId="15" fillId="0" fontId="6" numFmtId="164" xfId="0" applyAlignment="1" applyBorder="1" applyFont="1" applyNumberFormat="1">
      <alignment readingOrder="0"/>
    </xf>
    <xf borderId="0" fillId="0" fontId="10" numFmtId="0" xfId="0" applyFont="1"/>
    <xf borderId="0" fillId="0" fontId="2" numFmtId="164" xfId="0" applyFont="1" applyNumberFormat="1"/>
    <xf borderId="0" fillId="0" fontId="4" numFmtId="164" xfId="0" applyFont="1" applyNumberFormat="1"/>
    <xf borderId="0" fillId="2" fontId="11" numFmtId="164" xfId="0" applyAlignment="1" applyFont="1" applyNumberFormat="1">
      <alignment readingOrder="0"/>
    </xf>
    <xf borderId="4" fillId="0" fontId="12" numFmtId="0" xfId="0" applyAlignment="1" applyBorder="1" applyFont="1">
      <alignment readingOrder="0"/>
    </xf>
    <xf borderId="0" fillId="0" fontId="12" numFmtId="3" xfId="0" applyFont="1" applyNumberFormat="1"/>
    <xf borderId="0" fillId="0" fontId="12" numFmtId="0" xfId="0" applyFont="1"/>
    <xf borderId="5" fillId="0" fontId="12" numFmtId="0" xfId="0" applyBorder="1" applyFont="1"/>
    <xf borderId="6" fillId="0" fontId="13" numFmtId="0" xfId="0" applyAlignment="1" applyBorder="1" applyFont="1">
      <alignment readingOrder="0"/>
    </xf>
    <xf borderId="14" fillId="0" fontId="13" numFmtId="3" xfId="0" applyBorder="1" applyFont="1" applyNumberFormat="1"/>
    <xf borderId="14" fillId="0" fontId="13" numFmtId="0" xfId="0" applyBorder="1" applyFont="1"/>
    <xf borderId="14" fillId="0" fontId="13" numFmtId="164" xfId="0" applyBorder="1" applyFont="1" applyNumberFormat="1"/>
    <xf borderId="15" fillId="0" fontId="13" numFmtId="164" xfId="0" applyAlignment="1" applyBorder="1" applyFont="1" applyNumberFormat="1">
      <alignment readingOrder="0"/>
    </xf>
    <xf borderId="0" fillId="0" fontId="13" numFmtId="0" xfId="0" applyFont="1"/>
    <xf borderId="0" fillId="4" fontId="5" numFmtId="164" xfId="0" applyAlignment="1" applyFill="1" applyFont="1" applyNumberFormat="1">
      <alignment readingOrder="0"/>
    </xf>
    <xf borderId="4" fillId="0" fontId="13" numFmtId="0" xfId="0" applyAlignment="1" applyBorder="1" applyFont="1">
      <alignment readingOrder="0"/>
    </xf>
    <xf borderId="0" fillId="0" fontId="13" numFmtId="164" xfId="0" applyFont="1" applyNumberFormat="1"/>
    <xf borderId="5" fillId="0" fontId="13" numFmtId="164" xfId="0" applyAlignment="1" applyBorder="1" applyFont="1" applyNumberFormat="1">
      <alignment readingOrder="0"/>
    </xf>
    <xf borderId="0" fillId="0" fontId="12" numFmtId="164" xfId="0" applyFont="1" applyNumberFormat="1"/>
    <xf borderId="5" fillId="0" fontId="12" numFmtId="164" xfId="0" applyBorder="1" applyFont="1" applyNumberFormat="1"/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74</xdr:row>
      <xdr:rowOff>-209550</xdr:rowOff>
    </xdr:from>
    <xdr:ext cx="7181850" cy="4419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ong Tran" id="{30aa846f-7d26-4174-ace2-23542329240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5" dT="2026-03-18T07:51:24.00" personId="{30aa846f-7d26-4174-ace2-23542329240a}" id="{3e8f6cbc-b76d-4aa5-9ea3-8d7f2d0e1d12}" done="0">
    <x18tc:text xml:space="preserve">Tỷ giá VCB bán chuyển khoản vcb ngày 17.3.26: 18.856 VND/AUD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9" dT="2026-03-19T01:19:29.00" personId="{30aa846f-7d26-4174-ace2-23542329240a}" id="{5c92c5c0-37c7-430d-aee2-1ce63d58cbc5}" done="0">
    <x18tc:text xml:space="preserve">Estimated salaries for the CEO and employees are Gross salaries, which include the statutory insurance contributions payable by the company to the State.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3" dT="2026-03-19T04:15:50.00" personId="{30aa846f-7d26-4174-ace2-23542329240a}" id="{fd8cfb00-e55f-45fb-be98-885322384b70}" done="0">
    <x18tc:text xml:space="preserve">Upon contract signing at the beginning of the year, a 40% commission shall be paid. The remaining 60% will be received 7 months later, with the commission calculated</x18tc:text>
  </x18tc:threadedComment>
  <x18tc:threadedComment ref="J23" dT="2026-03-19T04:19:23.00" personId="{30aa846f-7d26-4174-ace2-23542329240a}" id="{82f438a7-770a-413e-9c90-651d1e469f8a}" done="0">
    <x18tc:text xml:space="preserve">Upon signing the contract in January for 72 students, a 40% commission will be received. The remaining 60% will be paid 7 months later once the students arrive in Australia, based on an intake of 6 students per month. Starting from Month 7 of each year, the cash flow is projected to include the 60% commission for 6 students monthly, with the remaining balance carried over for the first 6 months of the following year.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12.38"/>
    <col customWidth="1" min="3" max="3" width="13.0"/>
    <col customWidth="1" min="4" max="4" width="15.75"/>
    <col customWidth="1" min="5" max="5" width="16.75"/>
    <col customWidth="1" min="6" max="6" width="19.63"/>
  </cols>
  <sheetData>
    <row r="1">
      <c r="A1" s="1" t="s">
        <v>0</v>
      </c>
      <c r="B1" s="2"/>
      <c r="C1" s="3"/>
      <c r="D1" s="3"/>
      <c r="E1" s="4"/>
    </row>
    <row r="2">
      <c r="A2" s="5" t="s">
        <v>1</v>
      </c>
    </row>
    <row r="3">
      <c r="A3" s="3"/>
      <c r="B3" s="2"/>
      <c r="C3" s="3"/>
      <c r="D3" s="3" t="s">
        <v>2</v>
      </c>
      <c r="E3" s="6" t="s">
        <v>3</v>
      </c>
    </row>
    <row r="4">
      <c r="A4" s="3"/>
      <c r="B4" s="2"/>
      <c r="C4" s="3"/>
      <c r="D4" s="3" t="s">
        <v>4</v>
      </c>
      <c r="E4" s="2">
        <v>26500.0</v>
      </c>
    </row>
    <row r="5">
      <c r="A5" s="7"/>
      <c r="B5" s="8"/>
      <c r="C5" s="7"/>
      <c r="D5" s="3" t="s">
        <v>5</v>
      </c>
      <c r="E5" s="2">
        <v>19000.0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7" t="s">
        <v>6</v>
      </c>
      <c r="B6" s="8" t="s">
        <v>7</v>
      </c>
      <c r="C6" s="7" t="s">
        <v>8</v>
      </c>
      <c r="D6" s="7" t="s">
        <v>9</v>
      </c>
      <c r="E6" s="8" t="s">
        <v>10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3" t="s">
        <v>11</v>
      </c>
      <c r="B7" s="2">
        <v>74.0</v>
      </c>
      <c r="C7" s="10">
        <v>4000.0</v>
      </c>
      <c r="D7" s="10">
        <f t="shared" ref="D7:D11" si="1">B7*C7</f>
        <v>296000</v>
      </c>
      <c r="E7" s="4">
        <f>D7*$E4</f>
        <v>7844000000</v>
      </c>
      <c r="F7" s="3" t="s">
        <v>12</v>
      </c>
    </row>
    <row r="8">
      <c r="A8" s="3" t="s">
        <v>13</v>
      </c>
      <c r="B8" s="2">
        <v>74.0</v>
      </c>
      <c r="C8" s="10">
        <f>(5000*19000)/26500</f>
        <v>3584.90566</v>
      </c>
      <c r="D8" s="10">
        <f t="shared" si="1"/>
        <v>265283.0189</v>
      </c>
      <c r="E8" s="4">
        <f>D8*$E4</f>
        <v>7030000000</v>
      </c>
      <c r="F8" s="3" t="s">
        <v>14</v>
      </c>
    </row>
    <row r="9">
      <c r="A9" s="3" t="s">
        <v>15</v>
      </c>
      <c r="B9" s="2">
        <v>74.0</v>
      </c>
      <c r="C9" s="10">
        <f>2000</f>
        <v>2000</v>
      </c>
      <c r="D9" s="10">
        <f t="shared" si="1"/>
        <v>148000</v>
      </c>
      <c r="E9" s="4">
        <f>D9*$E4</f>
        <v>3922000000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3" t="s">
        <v>16</v>
      </c>
      <c r="B10" s="2">
        <v>74.0</v>
      </c>
      <c r="C10" s="10">
        <f>700</f>
        <v>700</v>
      </c>
      <c r="D10" s="10">
        <f t="shared" si="1"/>
        <v>51800</v>
      </c>
      <c r="E10" s="4">
        <f>D10*$E4</f>
        <v>1372700000</v>
      </c>
      <c r="F10" s="12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2" t="s">
        <v>17</v>
      </c>
      <c r="B11" s="13">
        <v>74.0</v>
      </c>
      <c r="C11" s="14">
        <f>C8*10%</f>
        <v>358.490566</v>
      </c>
      <c r="D11" s="14">
        <f t="shared" si="1"/>
        <v>26528.30189</v>
      </c>
      <c r="E11" s="15">
        <f>D11*$E4</f>
        <v>703000000</v>
      </c>
      <c r="F11" s="12" t="s">
        <v>18</v>
      </c>
      <c r="G11" s="12" t="s">
        <v>19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6" t="s">
        <v>20</v>
      </c>
      <c r="B12" s="17"/>
      <c r="C12" s="18"/>
      <c r="D12" s="19">
        <f t="shared" ref="D12:E12" si="2">SUM(D7:D11)</f>
        <v>787611.3208</v>
      </c>
      <c r="E12" s="20">
        <f t="shared" si="2"/>
        <v>20871700000</v>
      </c>
      <c r="F12" s="16" t="s">
        <v>21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B13" s="4"/>
      <c r="E13" s="4"/>
    </row>
    <row r="14">
      <c r="A14" s="16" t="s">
        <v>22</v>
      </c>
      <c r="B14" s="21"/>
      <c r="C14" s="22"/>
      <c r="D14" s="22"/>
      <c r="E14" s="21"/>
      <c r="F14" s="22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3" t="s">
        <v>23</v>
      </c>
      <c r="B15" s="2">
        <v>74.0</v>
      </c>
      <c r="C15" s="23">
        <f>C7-((2500*19000)/26500)</f>
        <v>2207.54717</v>
      </c>
      <c r="D15" s="23">
        <f>B15*C15</f>
        <v>163358.4906</v>
      </c>
      <c r="E15" s="24">
        <f>D15*E4</f>
        <v>4329000000</v>
      </c>
      <c r="F15" s="25" t="s">
        <v>24</v>
      </c>
    </row>
    <row r="16">
      <c r="A16" s="3" t="s">
        <v>25</v>
      </c>
      <c r="B16" s="26">
        <v>0.0</v>
      </c>
      <c r="C16" s="23">
        <v>0.0</v>
      </c>
      <c r="D16" s="23">
        <v>0.0</v>
      </c>
      <c r="E16" s="24">
        <f>D16*E4</f>
        <v>0</v>
      </c>
      <c r="F16" s="27"/>
    </row>
    <row r="17">
      <c r="A17" s="28" t="s">
        <v>26</v>
      </c>
      <c r="B17" s="2">
        <v>74.0</v>
      </c>
      <c r="C17" s="23">
        <v>500.0</v>
      </c>
      <c r="D17" s="23">
        <f>B17*C17</f>
        <v>37000</v>
      </c>
      <c r="E17" s="24">
        <f>D17*E4</f>
        <v>980500000</v>
      </c>
      <c r="F17" s="27"/>
    </row>
    <row r="18">
      <c r="A18" s="3" t="s">
        <v>27</v>
      </c>
      <c r="B18" s="26">
        <v>0.0</v>
      </c>
      <c r="C18" s="23">
        <v>0.0</v>
      </c>
      <c r="D18" s="23">
        <v>0.0</v>
      </c>
      <c r="E18" s="24">
        <f>D18*E4</f>
        <v>0</v>
      </c>
      <c r="F18" s="27"/>
    </row>
    <row r="19">
      <c r="A19" s="3" t="s">
        <v>28</v>
      </c>
      <c r="B19" s="26">
        <v>0.0</v>
      </c>
      <c r="C19" s="23">
        <v>0.0</v>
      </c>
      <c r="D19" s="23">
        <v>0.0</v>
      </c>
      <c r="E19" s="24">
        <f>D19*E4</f>
        <v>0</v>
      </c>
      <c r="F19" s="27"/>
    </row>
    <row r="20">
      <c r="A20" s="3" t="s">
        <v>29</v>
      </c>
      <c r="B20" s="2">
        <v>74.0</v>
      </c>
      <c r="C20" s="23">
        <v>0.0</v>
      </c>
      <c r="D20" s="23">
        <v>0.0</v>
      </c>
      <c r="E20" s="24">
        <f>D20*E4</f>
        <v>0</v>
      </c>
      <c r="F20" s="27"/>
    </row>
    <row r="21">
      <c r="A21" s="16" t="s">
        <v>30</v>
      </c>
      <c r="B21" s="20"/>
      <c r="C21" s="19"/>
      <c r="D21" s="29">
        <f>sum(D15:D20)</f>
        <v>200358.4906</v>
      </c>
      <c r="E21" s="17">
        <f>D21*E4</f>
        <v>5309500000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6" t="s">
        <v>31</v>
      </c>
      <c r="B22" s="17"/>
      <c r="C22" s="18"/>
      <c r="D22" s="19">
        <f t="shared" ref="D22:E22" si="3">D12-D15</f>
        <v>624252.8302</v>
      </c>
      <c r="E22" s="20">
        <f t="shared" si="3"/>
        <v>16542700000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B23" s="4"/>
      <c r="E23" s="4"/>
    </row>
    <row r="24">
      <c r="A24" s="16" t="s">
        <v>32</v>
      </c>
      <c r="B24" s="17"/>
      <c r="C24" s="18"/>
      <c r="D24" s="18"/>
      <c r="E24" s="17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3" t="s">
        <v>33</v>
      </c>
      <c r="B25" s="26">
        <v>1.0</v>
      </c>
      <c r="C25" s="23">
        <v>120000.0</v>
      </c>
      <c r="D25" s="23">
        <v>120000.0</v>
      </c>
      <c r="E25" s="24">
        <f>D25*E4</f>
        <v>3180000000</v>
      </c>
      <c r="F25" s="3" t="s">
        <v>34</v>
      </c>
    </row>
    <row r="26" ht="18.0" customHeight="1">
      <c r="A26" s="3" t="s">
        <v>35</v>
      </c>
      <c r="B26" s="26">
        <v>1.0</v>
      </c>
      <c r="C26" s="23">
        <f>35000000*13/26500</f>
        <v>17169.81132</v>
      </c>
      <c r="D26" s="23">
        <f>B26*C26</f>
        <v>17169.81132</v>
      </c>
      <c r="E26" s="24">
        <f>D26*E4</f>
        <v>455000000</v>
      </c>
    </row>
    <row r="27">
      <c r="A27" s="3" t="s">
        <v>36</v>
      </c>
      <c r="B27" s="26">
        <v>0.0</v>
      </c>
      <c r="C27" s="23">
        <v>0.0</v>
      </c>
      <c r="D27" s="23">
        <v>0.0</v>
      </c>
      <c r="E27" s="24">
        <f>D27*E4</f>
        <v>0</v>
      </c>
    </row>
    <row r="28">
      <c r="A28" s="3" t="s">
        <v>37</v>
      </c>
      <c r="B28" s="26">
        <v>1.0</v>
      </c>
      <c r="C28" s="23">
        <f>1000*12</f>
        <v>12000</v>
      </c>
      <c r="D28" s="23">
        <f t="shared" ref="D28:D32" si="4">B28*C28</f>
        <v>12000</v>
      </c>
      <c r="E28" s="24">
        <f>D28*E4</f>
        <v>318000000</v>
      </c>
    </row>
    <row r="29">
      <c r="A29" s="3" t="s">
        <v>38</v>
      </c>
      <c r="B29" s="26">
        <v>1.0</v>
      </c>
      <c r="C29" s="23">
        <f>10000000*12/26500</f>
        <v>4528.301887</v>
      </c>
      <c r="D29" s="23">
        <f t="shared" si="4"/>
        <v>4528.301887</v>
      </c>
      <c r="E29" s="24">
        <f>D29*E4</f>
        <v>120000000</v>
      </c>
      <c r="F29" s="3" t="s">
        <v>39</v>
      </c>
    </row>
    <row r="30">
      <c r="A30" s="3" t="s">
        <v>40</v>
      </c>
      <c r="B30" s="25">
        <v>1.0</v>
      </c>
      <c r="C30" s="23">
        <f>10000000*13/26500</f>
        <v>4905.660377</v>
      </c>
      <c r="D30" s="23">
        <f t="shared" si="4"/>
        <v>4905.660377</v>
      </c>
      <c r="E30" s="24">
        <f>D30*E4</f>
        <v>130000000</v>
      </c>
      <c r="F30" s="3" t="s">
        <v>41</v>
      </c>
    </row>
    <row r="31">
      <c r="A31" s="3" t="s">
        <v>42</v>
      </c>
      <c r="B31" s="26">
        <v>1.0</v>
      </c>
      <c r="C31" s="23">
        <f>40000000*13/26500</f>
        <v>19622.64151</v>
      </c>
      <c r="D31" s="23">
        <f t="shared" si="4"/>
        <v>19622.64151</v>
      </c>
      <c r="E31" s="24">
        <f>D31*E4</f>
        <v>520000000</v>
      </c>
      <c r="F31" s="3" t="s">
        <v>43</v>
      </c>
    </row>
    <row r="32">
      <c r="A32" s="3" t="s">
        <v>44</v>
      </c>
      <c r="B32" s="2">
        <v>1.0</v>
      </c>
      <c r="C32" s="23">
        <f>1000*12</f>
        <v>12000</v>
      </c>
      <c r="D32" s="23">
        <f t="shared" si="4"/>
        <v>12000</v>
      </c>
      <c r="E32" s="24">
        <f>D32*E4</f>
        <v>318000000</v>
      </c>
      <c r="F32" s="3" t="s">
        <v>45</v>
      </c>
      <c r="G32" s="3" t="s">
        <v>46</v>
      </c>
    </row>
    <row r="33">
      <c r="A33" s="16" t="s">
        <v>47</v>
      </c>
      <c r="B33" s="17"/>
      <c r="C33" s="18"/>
      <c r="D33" s="19">
        <f>sum(D25:D32)</f>
        <v>190226.4151</v>
      </c>
      <c r="E33" s="20">
        <f>SUM(E25:E32)</f>
        <v>5041000000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B34" s="4"/>
      <c r="E34" s="4"/>
    </row>
    <row r="35">
      <c r="A35" s="16" t="s">
        <v>48</v>
      </c>
      <c r="B35" s="17"/>
      <c r="C35" s="18"/>
      <c r="D35" s="19">
        <f t="shared" ref="D35:E35" si="5">D22-D33</f>
        <v>434026.4151</v>
      </c>
      <c r="E35" s="20">
        <f t="shared" si="5"/>
        <v>11501700000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3" t="s">
        <v>49</v>
      </c>
      <c r="B36" s="4"/>
      <c r="D36" s="10">
        <v>0.0</v>
      </c>
      <c r="E36" s="24">
        <f>D36*E4</f>
        <v>0</v>
      </c>
    </row>
    <row r="37">
      <c r="A37" s="16" t="s">
        <v>50</v>
      </c>
      <c r="B37" s="17"/>
      <c r="C37" s="18"/>
      <c r="D37" s="19">
        <f t="shared" ref="D37:E37" si="6">D35-D36</f>
        <v>434026.4151</v>
      </c>
      <c r="E37" s="20">
        <f t="shared" si="6"/>
        <v>11501700000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2" t="s">
        <v>51</v>
      </c>
      <c r="B38" s="15"/>
      <c r="C38" s="11"/>
      <c r="D38" s="30">
        <f t="shared" ref="D38:E38" si="7">D37*20%</f>
        <v>86805.28302</v>
      </c>
      <c r="E38" s="15">
        <f t="shared" si="7"/>
        <v>2300340000</v>
      </c>
    </row>
    <row r="39">
      <c r="A39" s="16" t="s">
        <v>52</v>
      </c>
      <c r="B39" s="17"/>
      <c r="C39" s="18"/>
      <c r="D39" s="19">
        <f t="shared" ref="D39:E39" si="8">D37-D38</f>
        <v>347221.1321</v>
      </c>
      <c r="E39" s="20">
        <f t="shared" si="8"/>
        <v>9201360000</v>
      </c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B40" s="4"/>
      <c r="E40" s="4">
        <f>E33/12</f>
        <v>420083333.3</v>
      </c>
      <c r="F40" s="3" t="s">
        <v>53</v>
      </c>
    </row>
    <row r="41">
      <c r="B41" s="4"/>
      <c r="E41" s="15">
        <f>E40*8</f>
        <v>3360666667</v>
      </c>
    </row>
    <row r="42">
      <c r="B42" s="4"/>
      <c r="E42" s="4">
        <f>E41/E4</f>
        <v>126817.6101</v>
      </c>
      <c r="F42" s="3" t="s">
        <v>54</v>
      </c>
    </row>
    <row r="43">
      <c r="B43" s="4"/>
      <c r="E43" s="4"/>
    </row>
    <row r="44">
      <c r="B44" s="4"/>
      <c r="E44" s="4"/>
      <c r="F44" s="3" t="s">
        <v>55</v>
      </c>
    </row>
    <row r="45">
      <c r="B45" s="4"/>
      <c r="E45" s="4"/>
    </row>
    <row r="46">
      <c r="B46" s="4"/>
      <c r="E46" s="4"/>
    </row>
    <row r="47">
      <c r="B47" s="4"/>
      <c r="E47" s="4"/>
    </row>
    <row r="48">
      <c r="B48" s="4"/>
      <c r="E48" s="4"/>
    </row>
    <row r="49">
      <c r="B49" s="4"/>
      <c r="E49" s="4"/>
    </row>
    <row r="50">
      <c r="B50" s="4"/>
      <c r="E50" s="4"/>
    </row>
    <row r="51">
      <c r="B51" s="4"/>
      <c r="E51" s="4"/>
    </row>
    <row r="52">
      <c r="B52" s="4"/>
      <c r="E52" s="4"/>
    </row>
    <row r="53">
      <c r="B53" s="4"/>
      <c r="E53" s="4"/>
    </row>
    <row r="54">
      <c r="B54" s="4"/>
      <c r="E54" s="4"/>
    </row>
    <row r="55">
      <c r="B55" s="4"/>
      <c r="E55" s="4"/>
    </row>
    <row r="56">
      <c r="B56" s="4"/>
      <c r="E56" s="4"/>
    </row>
    <row r="57">
      <c r="B57" s="4"/>
      <c r="E57" s="4"/>
    </row>
    <row r="58">
      <c r="B58" s="4"/>
      <c r="E58" s="4"/>
    </row>
    <row r="59">
      <c r="B59" s="4"/>
      <c r="E59" s="4"/>
    </row>
    <row r="60">
      <c r="B60" s="4"/>
      <c r="E60" s="4"/>
    </row>
    <row r="61">
      <c r="B61" s="4"/>
      <c r="E61" s="4"/>
    </row>
    <row r="62">
      <c r="B62" s="4"/>
      <c r="E62" s="4"/>
    </row>
    <row r="63">
      <c r="B63" s="4"/>
      <c r="E63" s="4"/>
    </row>
    <row r="64">
      <c r="B64" s="4"/>
      <c r="E64" s="4"/>
    </row>
    <row r="65">
      <c r="B65" s="4"/>
      <c r="E65" s="4"/>
    </row>
    <row r="66">
      <c r="B66" s="4"/>
      <c r="E66" s="4"/>
    </row>
    <row r="67">
      <c r="B67" s="4"/>
      <c r="E67" s="4"/>
    </row>
    <row r="68">
      <c r="B68" s="4"/>
      <c r="E68" s="4"/>
    </row>
    <row r="69">
      <c r="B69" s="4"/>
      <c r="E69" s="4"/>
    </row>
    <row r="70">
      <c r="B70" s="4"/>
      <c r="E70" s="4"/>
    </row>
    <row r="71">
      <c r="B71" s="4"/>
      <c r="E71" s="4"/>
    </row>
    <row r="72">
      <c r="B72" s="4"/>
      <c r="E72" s="4"/>
    </row>
    <row r="73">
      <c r="B73" s="4"/>
      <c r="E73" s="4"/>
    </row>
    <row r="74">
      <c r="B74" s="4"/>
      <c r="E74" s="4"/>
    </row>
    <row r="75">
      <c r="B75" s="4"/>
      <c r="E75" s="4"/>
    </row>
    <row r="76">
      <c r="B76" s="4"/>
      <c r="E76" s="4"/>
    </row>
    <row r="77">
      <c r="B77" s="4"/>
      <c r="E77" s="4"/>
    </row>
    <row r="78">
      <c r="B78" s="4"/>
      <c r="E78" s="4"/>
    </row>
    <row r="79">
      <c r="B79" s="4"/>
      <c r="E79" s="4"/>
    </row>
    <row r="80">
      <c r="B80" s="4"/>
      <c r="E80" s="4"/>
    </row>
    <row r="81">
      <c r="B81" s="4"/>
      <c r="E81" s="4"/>
    </row>
    <row r="82">
      <c r="B82" s="4"/>
      <c r="E82" s="4"/>
    </row>
    <row r="83">
      <c r="B83" s="4"/>
      <c r="E83" s="4"/>
    </row>
    <row r="84">
      <c r="B84" s="4"/>
      <c r="E84" s="4"/>
    </row>
    <row r="85">
      <c r="B85" s="4"/>
      <c r="E85" s="4"/>
    </row>
    <row r="86">
      <c r="B86" s="4"/>
      <c r="E86" s="4"/>
    </row>
    <row r="87">
      <c r="B87" s="4"/>
      <c r="E87" s="4"/>
    </row>
    <row r="88">
      <c r="B88" s="4"/>
      <c r="E88" s="4"/>
    </row>
    <row r="89">
      <c r="B89" s="4"/>
      <c r="E89" s="4"/>
    </row>
    <row r="90">
      <c r="B90" s="4"/>
      <c r="E90" s="4"/>
    </row>
    <row r="91">
      <c r="B91" s="4"/>
      <c r="E91" s="4"/>
    </row>
    <row r="92">
      <c r="B92" s="4"/>
      <c r="E92" s="4"/>
    </row>
    <row r="93">
      <c r="B93" s="4"/>
      <c r="E93" s="4"/>
    </row>
    <row r="94">
      <c r="B94" s="4"/>
      <c r="E94" s="4"/>
    </row>
    <row r="95">
      <c r="B95" s="4"/>
      <c r="E95" s="4"/>
    </row>
    <row r="96">
      <c r="B96" s="4"/>
      <c r="E96" s="4"/>
    </row>
    <row r="97">
      <c r="B97" s="4"/>
      <c r="E97" s="4"/>
    </row>
    <row r="98">
      <c r="B98" s="4"/>
      <c r="E98" s="4"/>
    </row>
    <row r="99">
      <c r="B99" s="4"/>
      <c r="E99" s="4"/>
    </row>
    <row r="100">
      <c r="B100" s="4"/>
      <c r="E100" s="4"/>
    </row>
    <row r="101">
      <c r="B101" s="4"/>
      <c r="E101" s="4"/>
    </row>
    <row r="102">
      <c r="B102" s="4"/>
      <c r="E102" s="4"/>
    </row>
    <row r="103">
      <c r="B103" s="4"/>
      <c r="E103" s="4"/>
    </row>
    <row r="104">
      <c r="B104" s="4"/>
      <c r="E104" s="4"/>
    </row>
    <row r="105">
      <c r="B105" s="4"/>
      <c r="E105" s="4"/>
    </row>
    <row r="106">
      <c r="B106" s="4"/>
      <c r="E106" s="4"/>
    </row>
    <row r="107">
      <c r="B107" s="4"/>
      <c r="E107" s="4"/>
    </row>
    <row r="108">
      <c r="B108" s="4"/>
      <c r="E108" s="4"/>
    </row>
    <row r="109">
      <c r="B109" s="4"/>
      <c r="E109" s="4"/>
    </row>
    <row r="110">
      <c r="B110" s="4"/>
      <c r="E110" s="4"/>
    </row>
    <row r="111">
      <c r="B111" s="4"/>
      <c r="E111" s="4"/>
    </row>
    <row r="112">
      <c r="B112" s="4"/>
      <c r="E112" s="4"/>
    </row>
    <row r="113">
      <c r="B113" s="4"/>
      <c r="E113" s="4"/>
    </row>
    <row r="114">
      <c r="B114" s="4"/>
      <c r="E114" s="4"/>
    </row>
    <row r="115">
      <c r="B115" s="4"/>
      <c r="E115" s="4"/>
    </row>
    <row r="116">
      <c r="B116" s="4"/>
      <c r="E116" s="4"/>
    </row>
    <row r="117">
      <c r="B117" s="4"/>
      <c r="E117" s="4"/>
    </row>
    <row r="118">
      <c r="B118" s="4"/>
      <c r="E118" s="4"/>
    </row>
    <row r="119">
      <c r="B119" s="4"/>
      <c r="E119" s="4"/>
    </row>
    <row r="120">
      <c r="B120" s="4"/>
      <c r="E120" s="4"/>
    </row>
    <row r="121">
      <c r="B121" s="4"/>
      <c r="E121" s="4"/>
    </row>
    <row r="122">
      <c r="B122" s="4"/>
      <c r="E122" s="4"/>
    </row>
    <row r="123">
      <c r="B123" s="4"/>
      <c r="E123" s="4"/>
    </row>
    <row r="124">
      <c r="B124" s="4"/>
      <c r="E124" s="4"/>
    </row>
    <row r="125">
      <c r="B125" s="4"/>
      <c r="E125" s="4"/>
    </row>
    <row r="126">
      <c r="B126" s="4"/>
      <c r="E126" s="4"/>
    </row>
    <row r="127">
      <c r="B127" s="4"/>
      <c r="E127" s="4"/>
    </row>
    <row r="128">
      <c r="B128" s="4"/>
      <c r="E128" s="4"/>
    </row>
    <row r="129">
      <c r="B129" s="4"/>
      <c r="E129" s="4"/>
    </row>
    <row r="130">
      <c r="B130" s="4"/>
      <c r="E130" s="4"/>
    </row>
    <row r="131">
      <c r="B131" s="4"/>
      <c r="E131" s="4"/>
    </row>
    <row r="132">
      <c r="B132" s="4"/>
      <c r="E132" s="4"/>
    </row>
    <row r="133">
      <c r="B133" s="4"/>
      <c r="E133" s="4"/>
    </row>
    <row r="134">
      <c r="B134" s="4"/>
      <c r="E134" s="4"/>
    </row>
    <row r="135">
      <c r="B135" s="4"/>
      <c r="E135" s="4"/>
    </row>
    <row r="136">
      <c r="B136" s="4"/>
      <c r="E136" s="4"/>
    </row>
    <row r="137">
      <c r="B137" s="4"/>
      <c r="E137" s="4"/>
    </row>
    <row r="138">
      <c r="B138" s="4"/>
      <c r="E138" s="4"/>
    </row>
    <row r="139">
      <c r="B139" s="4"/>
      <c r="E139" s="4"/>
    </row>
    <row r="140">
      <c r="B140" s="4"/>
      <c r="E140" s="4"/>
    </row>
    <row r="141">
      <c r="B141" s="4"/>
      <c r="E141" s="4"/>
    </row>
    <row r="142">
      <c r="B142" s="4"/>
      <c r="E142" s="4"/>
    </row>
    <row r="143">
      <c r="B143" s="4"/>
      <c r="E143" s="4"/>
    </row>
    <row r="144">
      <c r="B144" s="4"/>
      <c r="E144" s="4"/>
    </row>
    <row r="145">
      <c r="B145" s="4"/>
      <c r="E145" s="4"/>
    </row>
    <row r="146">
      <c r="B146" s="4"/>
      <c r="E146" s="4"/>
    </row>
    <row r="147">
      <c r="B147" s="4"/>
      <c r="E147" s="4"/>
    </row>
    <row r="148">
      <c r="B148" s="4"/>
      <c r="E148" s="4"/>
    </row>
    <row r="149">
      <c r="B149" s="4"/>
      <c r="E149" s="4"/>
    </row>
    <row r="150">
      <c r="B150" s="4"/>
      <c r="E150" s="4"/>
    </row>
    <row r="151">
      <c r="B151" s="4"/>
      <c r="E151" s="4"/>
    </row>
    <row r="152">
      <c r="B152" s="4"/>
      <c r="E152" s="4"/>
    </row>
    <row r="153">
      <c r="B153" s="4"/>
      <c r="E153" s="4"/>
    </row>
    <row r="154">
      <c r="B154" s="4"/>
      <c r="E154" s="4"/>
    </row>
    <row r="155">
      <c r="B155" s="4"/>
      <c r="E155" s="4"/>
    </row>
    <row r="156">
      <c r="B156" s="4"/>
      <c r="E156" s="4"/>
    </row>
    <row r="157">
      <c r="B157" s="4"/>
      <c r="E157" s="4"/>
    </row>
    <row r="158">
      <c r="B158" s="4"/>
      <c r="E158" s="4"/>
    </row>
    <row r="159">
      <c r="B159" s="4"/>
      <c r="E159" s="4"/>
    </row>
    <row r="160">
      <c r="B160" s="4"/>
      <c r="E160" s="4"/>
    </row>
    <row r="161">
      <c r="B161" s="4"/>
      <c r="E161" s="4"/>
    </row>
    <row r="162">
      <c r="B162" s="4"/>
      <c r="E162" s="4"/>
    </row>
    <row r="163">
      <c r="B163" s="4"/>
      <c r="E163" s="4"/>
    </row>
    <row r="164">
      <c r="B164" s="4"/>
      <c r="E164" s="4"/>
    </row>
    <row r="165">
      <c r="B165" s="4"/>
      <c r="E165" s="4"/>
    </row>
    <row r="166">
      <c r="B166" s="4"/>
      <c r="E166" s="4"/>
    </row>
    <row r="167">
      <c r="B167" s="4"/>
      <c r="E167" s="4"/>
    </row>
    <row r="168">
      <c r="B168" s="4"/>
      <c r="E168" s="4"/>
    </row>
    <row r="169">
      <c r="B169" s="4"/>
      <c r="E169" s="4"/>
    </row>
    <row r="170">
      <c r="B170" s="4"/>
      <c r="E170" s="4"/>
    </row>
    <row r="171">
      <c r="B171" s="4"/>
      <c r="E171" s="4"/>
    </row>
    <row r="172">
      <c r="B172" s="4"/>
      <c r="E172" s="4"/>
    </row>
    <row r="173">
      <c r="B173" s="4"/>
      <c r="E173" s="4"/>
    </row>
    <row r="174">
      <c r="B174" s="4"/>
      <c r="E174" s="4"/>
    </row>
    <row r="175">
      <c r="B175" s="4"/>
      <c r="E175" s="4"/>
    </row>
    <row r="176">
      <c r="B176" s="4"/>
      <c r="E176" s="4"/>
    </row>
    <row r="177">
      <c r="B177" s="4"/>
      <c r="E177" s="4"/>
    </row>
    <row r="178">
      <c r="B178" s="4"/>
      <c r="E178" s="4"/>
    </row>
    <row r="179">
      <c r="B179" s="4"/>
      <c r="E179" s="4"/>
    </row>
    <row r="180">
      <c r="B180" s="4"/>
      <c r="E180" s="4"/>
    </row>
    <row r="181">
      <c r="B181" s="4"/>
      <c r="E181" s="4"/>
    </row>
    <row r="182">
      <c r="B182" s="4"/>
      <c r="E182" s="4"/>
    </row>
    <row r="183">
      <c r="B183" s="4"/>
      <c r="E183" s="4"/>
    </row>
    <row r="184">
      <c r="B184" s="4"/>
      <c r="E184" s="4"/>
    </row>
    <row r="185">
      <c r="B185" s="4"/>
      <c r="E185" s="4"/>
    </row>
    <row r="186">
      <c r="B186" s="4"/>
      <c r="E186" s="4"/>
    </row>
    <row r="187">
      <c r="B187" s="4"/>
      <c r="E187" s="4"/>
    </row>
    <row r="188">
      <c r="B188" s="4"/>
      <c r="E188" s="4"/>
    </row>
    <row r="189">
      <c r="B189" s="4"/>
      <c r="E189" s="4"/>
    </row>
    <row r="190">
      <c r="B190" s="4"/>
      <c r="E190" s="4"/>
    </row>
    <row r="191">
      <c r="B191" s="4"/>
      <c r="E191" s="4"/>
    </row>
    <row r="192">
      <c r="B192" s="4"/>
      <c r="E192" s="4"/>
    </row>
    <row r="193">
      <c r="B193" s="4"/>
      <c r="E193" s="4"/>
    </row>
    <row r="194">
      <c r="B194" s="4"/>
      <c r="E194" s="4"/>
    </row>
    <row r="195">
      <c r="B195" s="4"/>
      <c r="E195" s="4"/>
    </row>
    <row r="196">
      <c r="B196" s="4"/>
      <c r="E196" s="4"/>
    </row>
    <row r="197">
      <c r="B197" s="4"/>
      <c r="E197" s="4"/>
    </row>
    <row r="198">
      <c r="B198" s="4"/>
      <c r="E198" s="4"/>
    </row>
    <row r="199">
      <c r="B199" s="4"/>
      <c r="E199" s="4"/>
    </row>
    <row r="200">
      <c r="B200" s="4"/>
      <c r="E200" s="4"/>
    </row>
    <row r="201">
      <c r="B201" s="4"/>
      <c r="E201" s="4"/>
    </row>
    <row r="202">
      <c r="B202" s="4"/>
      <c r="E202" s="4"/>
    </row>
    <row r="203">
      <c r="B203" s="4"/>
      <c r="E203" s="4"/>
    </row>
    <row r="204">
      <c r="B204" s="4"/>
      <c r="E204" s="4"/>
    </row>
    <row r="205">
      <c r="B205" s="4"/>
      <c r="E205" s="4"/>
    </row>
    <row r="206">
      <c r="B206" s="4"/>
      <c r="E206" s="4"/>
    </row>
    <row r="207">
      <c r="B207" s="4"/>
      <c r="E207" s="4"/>
    </row>
    <row r="208">
      <c r="B208" s="4"/>
      <c r="E208" s="4"/>
    </row>
    <row r="209">
      <c r="B209" s="4"/>
      <c r="E209" s="4"/>
    </row>
    <row r="210">
      <c r="B210" s="4"/>
      <c r="E210" s="4"/>
    </row>
    <row r="211">
      <c r="B211" s="4"/>
      <c r="E211" s="4"/>
    </row>
    <row r="212">
      <c r="B212" s="4"/>
      <c r="E212" s="4"/>
    </row>
    <row r="213">
      <c r="B213" s="4"/>
      <c r="E213" s="4"/>
    </row>
    <row r="214">
      <c r="B214" s="4"/>
      <c r="E214" s="4"/>
    </row>
    <row r="215">
      <c r="B215" s="4"/>
      <c r="E215" s="4"/>
    </row>
    <row r="216">
      <c r="B216" s="4"/>
      <c r="E216" s="4"/>
    </row>
    <row r="217">
      <c r="B217" s="4"/>
      <c r="E217" s="4"/>
    </row>
    <row r="218">
      <c r="B218" s="4"/>
      <c r="E218" s="4"/>
    </row>
    <row r="219">
      <c r="B219" s="4"/>
      <c r="E219" s="4"/>
    </row>
    <row r="220">
      <c r="B220" s="4"/>
      <c r="E220" s="4"/>
    </row>
    <row r="221">
      <c r="B221" s="4"/>
      <c r="E221" s="4"/>
    </row>
    <row r="222">
      <c r="B222" s="4"/>
      <c r="E222" s="4"/>
    </row>
    <row r="223">
      <c r="B223" s="4"/>
      <c r="E223" s="4"/>
    </row>
    <row r="224">
      <c r="B224" s="4"/>
      <c r="E224" s="4"/>
    </row>
    <row r="225">
      <c r="B225" s="4"/>
      <c r="E225" s="4"/>
    </row>
    <row r="226">
      <c r="B226" s="4"/>
      <c r="E226" s="4"/>
    </row>
    <row r="227">
      <c r="B227" s="4"/>
      <c r="E227" s="4"/>
    </row>
    <row r="228">
      <c r="B228" s="4"/>
      <c r="E228" s="4"/>
    </row>
    <row r="229">
      <c r="B229" s="4"/>
      <c r="E229" s="4"/>
    </row>
    <row r="230">
      <c r="B230" s="4"/>
      <c r="E230" s="4"/>
    </row>
    <row r="231">
      <c r="B231" s="4"/>
      <c r="E231" s="4"/>
    </row>
    <row r="232">
      <c r="B232" s="4"/>
      <c r="E232" s="4"/>
    </row>
    <row r="233">
      <c r="B233" s="4"/>
      <c r="E233" s="4"/>
    </row>
    <row r="234">
      <c r="B234" s="4"/>
      <c r="E234" s="4"/>
    </row>
    <row r="235">
      <c r="B235" s="4"/>
      <c r="E235" s="4"/>
    </row>
    <row r="236">
      <c r="B236" s="4"/>
      <c r="E236" s="4"/>
    </row>
    <row r="237">
      <c r="B237" s="4"/>
      <c r="E237" s="4"/>
    </row>
    <row r="238">
      <c r="B238" s="4"/>
      <c r="E238" s="4"/>
    </row>
    <row r="239">
      <c r="B239" s="4"/>
      <c r="E239" s="4"/>
    </row>
    <row r="240">
      <c r="B240" s="4"/>
      <c r="E240" s="4"/>
    </row>
    <row r="241">
      <c r="B241" s="4"/>
      <c r="E241" s="4"/>
    </row>
    <row r="242">
      <c r="B242" s="4"/>
      <c r="E242" s="4"/>
    </row>
    <row r="243">
      <c r="B243" s="4"/>
      <c r="E243" s="4"/>
    </row>
    <row r="244">
      <c r="B244" s="4"/>
      <c r="E244" s="4"/>
    </row>
    <row r="245">
      <c r="B245" s="4"/>
      <c r="E245" s="4"/>
    </row>
    <row r="246">
      <c r="B246" s="4"/>
      <c r="E246" s="4"/>
    </row>
    <row r="247">
      <c r="B247" s="4"/>
      <c r="E247" s="4"/>
    </row>
    <row r="248">
      <c r="B248" s="4"/>
      <c r="E248" s="4"/>
    </row>
    <row r="249">
      <c r="B249" s="4"/>
      <c r="E249" s="4"/>
    </row>
    <row r="250">
      <c r="B250" s="4"/>
      <c r="E250" s="4"/>
    </row>
    <row r="251">
      <c r="B251" s="4"/>
      <c r="E251" s="4"/>
    </row>
    <row r="252">
      <c r="B252" s="4"/>
      <c r="E252" s="4"/>
    </row>
    <row r="253">
      <c r="B253" s="4"/>
      <c r="E253" s="4"/>
    </row>
    <row r="254">
      <c r="B254" s="4"/>
      <c r="E254" s="4"/>
    </row>
    <row r="255">
      <c r="B255" s="4"/>
      <c r="E255" s="4"/>
    </row>
    <row r="256">
      <c r="B256" s="4"/>
      <c r="E256" s="4"/>
    </row>
    <row r="257">
      <c r="B257" s="4"/>
      <c r="E257" s="4"/>
    </row>
    <row r="258">
      <c r="B258" s="4"/>
      <c r="E258" s="4"/>
    </row>
    <row r="259">
      <c r="B259" s="4"/>
      <c r="E259" s="4"/>
    </row>
    <row r="260">
      <c r="B260" s="4"/>
      <c r="E260" s="4"/>
    </row>
    <row r="261">
      <c r="B261" s="4"/>
      <c r="E261" s="4"/>
    </row>
    <row r="262">
      <c r="B262" s="4"/>
      <c r="E262" s="4"/>
    </row>
    <row r="263">
      <c r="B263" s="4"/>
      <c r="E263" s="4"/>
    </row>
    <row r="264">
      <c r="B264" s="4"/>
      <c r="E264" s="4"/>
    </row>
    <row r="265">
      <c r="B265" s="4"/>
      <c r="E265" s="4"/>
    </row>
    <row r="266">
      <c r="B266" s="4"/>
      <c r="E266" s="4"/>
    </row>
    <row r="267">
      <c r="B267" s="4"/>
      <c r="E267" s="4"/>
    </row>
    <row r="268">
      <c r="B268" s="4"/>
      <c r="E268" s="4"/>
    </row>
    <row r="269">
      <c r="B269" s="4"/>
      <c r="E269" s="4"/>
    </row>
    <row r="270">
      <c r="B270" s="4"/>
      <c r="E270" s="4"/>
    </row>
    <row r="271">
      <c r="B271" s="4"/>
      <c r="E271" s="4"/>
    </row>
    <row r="272">
      <c r="B272" s="4"/>
      <c r="E272" s="4"/>
    </row>
    <row r="273">
      <c r="B273" s="4"/>
      <c r="E273" s="4"/>
    </row>
    <row r="274">
      <c r="B274" s="4"/>
      <c r="E274" s="4"/>
    </row>
    <row r="275">
      <c r="B275" s="4"/>
      <c r="E275" s="4"/>
    </row>
    <row r="276">
      <c r="B276" s="4"/>
      <c r="E276" s="4"/>
    </row>
    <row r="277">
      <c r="B277" s="4"/>
      <c r="E277" s="4"/>
    </row>
    <row r="278">
      <c r="B278" s="4"/>
      <c r="E278" s="4"/>
    </row>
    <row r="279">
      <c r="B279" s="4"/>
      <c r="E279" s="4"/>
    </row>
    <row r="280">
      <c r="B280" s="4"/>
      <c r="E280" s="4"/>
    </row>
    <row r="281">
      <c r="B281" s="4"/>
      <c r="E281" s="4"/>
    </row>
    <row r="282">
      <c r="B282" s="4"/>
      <c r="E282" s="4"/>
    </row>
    <row r="283">
      <c r="B283" s="4"/>
      <c r="E283" s="4"/>
    </row>
    <row r="284">
      <c r="B284" s="4"/>
      <c r="E284" s="4"/>
    </row>
    <row r="285">
      <c r="B285" s="4"/>
      <c r="E285" s="4"/>
    </row>
    <row r="286">
      <c r="B286" s="4"/>
      <c r="E286" s="4"/>
    </row>
    <row r="287">
      <c r="B287" s="4"/>
      <c r="E287" s="4"/>
    </row>
    <row r="288">
      <c r="B288" s="4"/>
      <c r="E288" s="4"/>
    </row>
    <row r="289">
      <c r="B289" s="4"/>
      <c r="E289" s="4"/>
    </row>
    <row r="290">
      <c r="B290" s="4"/>
      <c r="E290" s="4"/>
    </row>
    <row r="291">
      <c r="B291" s="4"/>
      <c r="E291" s="4"/>
    </row>
    <row r="292">
      <c r="B292" s="4"/>
      <c r="E292" s="4"/>
    </row>
    <row r="293">
      <c r="B293" s="4"/>
      <c r="E293" s="4"/>
    </row>
    <row r="294">
      <c r="B294" s="4"/>
      <c r="E294" s="4"/>
    </row>
    <row r="295">
      <c r="B295" s="4"/>
      <c r="E295" s="4"/>
    </row>
    <row r="296">
      <c r="B296" s="4"/>
      <c r="E296" s="4"/>
    </row>
    <row r="297">
      <c r="B297" s="4"/>
      <c r="E297" s="4"/>
    </row>
    <row r="298">
      <c r="B298" s="4"/>
      <c r="E298" s="4"/>
    </row>
    <row r="299">
      <c r="B299" s="4"/>
      <c r="E299" s="4"/>
    </row>
    <row r="300">
      <c r="B300" s="4"/>
      <c r="E300" s="4"/>
    </row>
    <row r="301">
      <c r="B301" s="4"/>
      <c r="E301" s="4"/>
    </row>
    <row r="302">
      <c r="B302" s="4"/>
      <c r="E302" s="4"/>
    </row>
    <row r="303">
      <c r="B303" s="4"/>
      <c r="E303" s="4"/>
    </row>
    <row r="304">
      <c r="B304" s="4"/>
      <c r="E304" s="4"/>
    </row>
    <row r="305">
      <c r="B305" s="4"/>
      <c r="E305" s="4"/>
    </row>
    <row r="306">
      <c r="B306" s="4"/>
      <c r="E306" s="4"/>
    </row>
    <row r="307">
      <c r="B307" s="4"/>
      <c r="E307" s="4"/>
    </row>
    <row r="308">
      <c r="B308" s="4"/>
      <c r="E308" s="4"/>
    </row>
    <row r="309">
      <c r="B309" s="4"/>
      <c r="E309" s="4"/>
    </row>
    <row r="310">
      <c r="B310" s="4"/>
      <c r="E310" s="4"/>
    </row>
    <row r="311">
      <c r="B311" s="4"/>
      <c r="E311" s="4"/>
    </row>
    <row r="312">
      <c r="B312" s="4"/>
      <c r="E312" s="4"/>
    </row>
    <row r="313">
      <c r="B313" s="4"/>
      <c r="E313" s="4"/>
    </row>
    <row r="314">
      <c r="B314" s="4"/>
      <c r="E314" s="4"/>
    </row>
    <row r="315">
      <c r="B315" s="4"/>
      <c r="E315" s="4"/>
    </row>
    <row r="316">
      <c r="B316" s="4"/>
      <c r="E316" s="4"/>
    </row>
    <row r="317">
      <c r="B317" s="4"/>
      <c r="E317" s="4"/>
    </row>
    <row r="318">
      <c r="B318" s="4"/>
      <c r="E318" s="4"/>
    </row>
    <row r="319">
      <c r="B319" s="4"/>
      <c r="E319" s="4"/>
    </row>
    <row r="320">
      <c r="B320" s="4"/>
      <c r="E320" s="4"/>
    </row>
    <row r="321">
      <c r="B321" s="4"/>
      <c r="E321" s="4"/>
    </row>
    <row r="322">
      <c r="B322" s="4"/>
      <c r="E322" s="4"/>
    </row>
    <row r="323">
      <c r="B323" s="4"/>
      <c r="E323" s="4"/>
    </row>
    <row r="324">
      <c r="B324" s="4"/>
      <c r="E324" s="4"/>
    </row>
    <row r="325">
      <c r="B325" s="4"/>
      <c r="E325" s="4"/>
    </row>
    <row r="326">
      <c r="B326" s="4"/>
      <c r="E326" s="4"/>
    </row>
    <row r="327">
      <c r="B327" s="4"/>
      <c r="E327" s="4"/>
    </row>
    <row r="328">
      <c r="B328" s="4"/>
      <c r="E328" s="4"/>
    </row>
    <row r="329">
      <c r="B329" s="4"/>
      <c r="E329" s="4"/>
    </row>
    <row r="330">
      <c r="B330" s="4"/>
      <c r="E330" s="4"/>
    </row>
    <row r="331">
      <c r="B331" s="4"/>
      <c r="E331" s="4"/>
    </row>
    <row r="332">
      <c r="B332" s="4"/>
      <c r="E332" s="4"/>
    </row>
    <row r="333">
      <c r="B333" s="4"/>
      <c r="E333" s="4"/>
    </row>
    <row r="334">
      <c r="B334" s="4"/>
      <c r="E334" s="4"/>
    </row>
    <row r="335">
      <c r="B335" s="4"/>
      <c r="E335" s="4"/>
    </row>
    <row r="336">
      <c r="B336" s="4"/>
      <c r="E336" s="4"/>
    </row>
    <row r="337">
      <c r="B337" s="4"/>
      <c r="E337" s="4"/>
    </row>
    <row r="338">
      <c r="B338" s="4"/>
      <c r="E338" s="4"/>
    </row>
    <row r="339">
      <c r="B339" s="4"/>
      <c r="E339" s="4"/>
    </row>
    <row r="340">
      <c r="B340" s="4"/>
      <c r="E340" s="4"/>
    </row>
    <row r="341">
      <c r="B341" s="4"/>
      <c r="E341" s="4"/>
    </row>
    <row r="342">
      <c r="B342" s="4"/>
      <c r="E342" s="4"/>
    </row>
    <row r="343">
      <c r="B343" s="4"/>
      <c r="E343" s="4"/>
    </row>
    <row r="344">
      <c r="B344" s="4"/>
      <c r="E344" s="4"/>
    </row>
    <row r="345">
      <c r="B345" s="4"/>
      <c r="E345" s="4"/>
    </row>
    <row r="346">
      <c r="B346" s="4"/>
      <c r="E346" s="4"/>
    </row>
    <row r="347">
      <c r="B347" s="4"/>
      <c r="E347" s="4"/>
    </row>
    <row r="348">
      <c r="B348" s="4"/>
      <c r="E348" s="4"/>
    </row>
    <row r="349">
      <c r="B349" s="4"/>
      <c r="E349" s="4"/>
    </row>
    <row r="350">
      <c r="B350" s="4"/>
      <c r="E350" s="4"/>
    </row>
    <row r="351">
      <c r="B351" s="4"/>
      <c r="E351" s="4"/>
    </row>
    <row r="352">
      <c r="B352" s="4"/>
      <c r="E352" s="4"/>
    </row>
    <row r="353">
      <c r="B353" s="4"/>
      <c r="E353" s="4"/>
    </row>
    <row r="354">
      <c r="B354" s="4"/>
      <c r="E354" s="4"/>
    </row>
    <row r="355">
      <c r="B355" s="4"/>
      <c r="E355" s="4"/>
    </row>
    <row r="356">
      <c r="B356" s="4"/>
      <c r="E356" s="4"/>
    </row>
    <row r="357">
      <c r="B357" s="4"/>
      <c r="E357" s="4"/>
    </row>
    <row r="358">
      <c r="B358" s="4"/>
      <c r="E358" s="4"/>
    </row>
    <row r="359">
      <c r="B359" s="4"/>
      <c r="E359" s="4"/>
    </row>
    <row r="360">
      <c r="B360" s="4"/>
      <c r="E360" s="4"/>
    </row>
    <row r="361">
      <c r="B361" s="4"/>
      <c r="E361" s="4"/>
    </row>
    <row r="362">
      <c r="B362" s="4"/>
      <c r="E362" s="4"/>
    </row>
    <row r="363">
      <c r="B363" s="4"/>
      <c r="E363" s="4"/>
    </row>
    <row r="364">
      <c r="B364" s="4"/>
      <c r="E364" s="4"/>
    </row>
    <row r="365">
      <c r="B365" s="4"/>
      <c r="E365" s="4"/>
    </row>
    <row r="366">
      <c r="B366" s="4"/>
      <c r="E366" s="4"/>
    </row>
    <row r="367">
      <c r="B367" s="4"/>
      <c r="E367" s="4"/>
    </row>
    <row r="368">
      <c r="B368" s="4"/>
      <c r="E368" s="4"/>
    </row>
    <row r="369">
      <c r="B369" s="4"/>
      <c r="E369" s="4"/>
    </row>
    <row r="370">
      <c r="B370" s="4"/>
      <c r="E370" s="4"/>
    </row>
    <row r="371">
      <c r="B371" s="4"/>
      <c r="E371" s="4"/>
    </row>
    <row r="372">
      <c r="B372" s="4"/>
      <c r="E372" s="4"/>
    </row>
    <row r="373">
      <c r="B373" s="4"/>
      <c r="E373" s="4"/>
    </row>
    <row r="374">
      <c r="B374" s="4"/>
      <c r="E374" s="4"/>
    </row>
    <row r="375">
      <c r="B375" s="4"/>
      <c r="E375" s="4"/>
    </row>
    <row r="376">
      <c r="B376" s="4"/>
      <c r="E376" s="4"/>
    </row>
    <row r="377">
      <c r="B377" s="4"/>
      <c r="E377" s="4"/>
    </row>
    <row r="378">
      <c r="B378" s="4"/>
      <c r="E378" s="4"/>
    </row>
    <row r="379">
      <c r="B379" s="4"/>
      <c r="E379" s="4"/>
    </row>
    <row r="380">
      <c r="B380" s="4"/>
      <c r="E380" s="4"/>
    </row>
    <row r="381">
      <c r="B381" s="4"/>
      <c r="E381" s="4"/>
    </row>
    <row r="382">
      <c r="B382" s="4"/>
      <c r="E382" s="4"/>
    </row>
    <row r="383">
      <c r="B383" s="4"/>
      <c r="E383" s="4"/>
    </row>
    <row r="384">
      <c r="B384" s="4"/>
      <c r="E384" s="4"/>
    </row>
    <row r="385">
      <c r="B385" s="4"/>
      <c r="E385" s="4"/>
    </row>
    <row r="386">
      <c r="B386" s="4"/>
      <c r="E386" s="4"/>
    </row>
    <row r="387">
      <c r="B387" s="4"/>
      <c r="E387" s="4"/>
    </row>
    <row r="388">
      <c r="B388" s="4"/>
      <c r="E388" s="4"/>
    </row>
    <row r="389">
      <c r="B389" s="4"/>
      <c r="E389" s="4"/>
    </row>
    <row r="390">
      <c r="B390" s="4"/>
      <c r="E390" s="4"/>
    </row>
    <row r="391">
      <c r="B391" s="4"/>
      <c r="E391" s="4"/>
    </row>
    <row r="392">
      <c r="B392" s="4"/>
      <c r="E392" s="4"/>
    </row>
    <row r="393">
      <c r="B393" s="4"/>
      <c r="E393" s="4"/>
    </row>
    <row r="394">
      <c r="B394" s="4"/>
      <c r="E394" s="4"/>
    </row>
    <row r="395">
      <c r="B395" s="4"/>
      <c r="E395" s="4"/>
    </row>
    <row r="396">
      <c r="B396" s="4"/>
      <c r="E396" s="4"/>
    </row>
    <row r="397">
      <c r="B397" s="4"/>
      <c r="E397" s="4"/>
    </row>
    <row r="398">
      <c r="B398" s="4"/>
      <c r="E398" s="4"/>
    </row>
    <row r="399">
      <c r="B399" s="4"/>
      <c r="E399" s="4"/>
    </row>
    <row r="400">
      <c r="B400" s="4"/>
      <c r="E400" s="4"/>
    </row>
    <row r="401">
      <c r="B401" s="4"/>
      <c r="E401" s="4"/>
    </row>
    <row r="402">
      <c r="B402" s="4"/>
      <c r="E402" s="4"/>
    </row>
    <row r="403">
      <c r="B403" s="4"/>
      <c r="E403" s="4"/>
    </row>
    <row r="404">
      <c r="B404" s="4"/>
      <c r="E404" s="4"/>
    </row>
    <row r="405">
      <c r="B405" s="4"/>
      <c r="E405" s="4"/>
    </row>
    <row r="406">
      <c r="B406" s="4"/>
      <c r="E406" s="4"/>
    </row>
    <row r="407">
      <c r="B407" s="4"/>
      <c r="E407" s="4"/>
    </row>
    <row r="408">
      <c r="B408" s="4"/>
      <c r="E408" s="4"/>
    </row>
    <row r="409">
      <c r="B409" s="4"/>
      <c r="E409" s="4"/>
    </row>
    <row r="410">
      <c r="B410" s="4"/>
      <c r="E410" s="4"/>
    </row>
    <row r="411">
      <c r="B411" s="4"/>
      <c r="E411" s="4"/>
    </row>
    <row r="412">
      <c r="B412" s="4"/>
      <c r="E412" s="4"/>
    </row>
    <row r="413">
      <c r="B413" s="4"/>
      <c r="E413" s="4"/>
    </row>
    <row r="414">
      <c r="B414" s="4"/>
      <c r="E414" s="4"/>
    </row>
    <row r="415">
      <c r="B415" s="4"/>
      <c r="E415" s="4"/>
    </row>
    <row r="416">
      <c r="B416" s="4"/>
      <c r="E416" s="4"/>
    </row>
    <row r="417">
      <c r="B417" s="4"/>
      <c r="E417" s="4"/>
    </row>
    <row r="418">
      <c r="B418" s="4"/>
      <c r="E418" s="4"/>
    </row>
    <row r="419">
      <c r="B419" s="4"/>
      <c r="E419" s="4"/>
    </row>
    <row r="420">
      <c r="B420" s="4"/>
      <c r="E420" s="4"/>
    </row>
    <row r="421">
      <c r="B421" s="4"/>
      <c r="E421" s="4"/>
    </row>
    <row r="422">
      <c r="B422" s="4"/>
      <c r="E422" s="4"/>
    </row>
    <row r="423">
      <c r="B423" s="4"/>
      <c r="E423" s="4"/>
    </row>
    <row r="424">
      <c r="B424" s="4"/>
      <c r="E424" s="4"/>
    </row>
    <row r="425">
      <c r="B425" s="4"/>
      <c r="E425" s="4"/>
    </row>
    <row r="426">
      <c r="B426" s="4"/>
      <c r="E426" s="4"/>
    </row>
    <row r="427">
      <c r="B427" s="4"/>
      <c r="E427" s="4"/>
    </row>
    <row r="428">
      <c r="B428" s="4"/>
      <c r="E428" s="4"/>
    </row>
    <row r="429">
      <c r="B429" s="4"/>
      <c r="E429" s="4"/>
    </row>
    <row r="430">
      <c r="B430" s="4"/>
      <c r="E430" s="4"/>
    </row>
    <row r="431">
      <c r="B431" s="4"/>
      <c r="E431" s="4"/>
    </row>
    <row r="432">
      <c r="B432" s="4"/>
      <c r="E432" s="4"/>
    </row>
    <row r="433">
      <c r="B433" s="4"/>
      <c r="E433" s="4"/>
    </row>
    <row r="434">
      <c r="B434" s="4"/>
      <c r="E434" s="4"/>
    </row>
    <row r="435">
      <c r="B435" s="4"/>
      <c r="E435" s="4"/>
    </row>
    <row r="436">
      <c r="B436" s="4"/>
      <c r="E436" s="4"/>
    </row>
    <row r="437">
      <c r="B437" s="4"/>
      <c r="E437" s="4"/>
    </row>
    <row r="438">
      <c r="B438" s="4"/>
      <c r="E438" s="4"/>
    </row>
    <row r="439">
      <c r="B439" s="4"/>
      <c r="E439" s="4"/>
    </row>
    <row r="440">
      <c r="B440" s="4"/>
      <c r="E440" s="4"/>
    </row>
    <row r="441">
      <c r="B441" s="4"/>
      <c r="E441" s="4"/>
    </row>
    <row r="442">
      <c r="B442" s="4"/>
      <c r="E442" s="4"/>
    </row>
    <row r="443">
      <c r="B443" s="4"/>
      <c r="E443" s="4"/>
    </row>
    <row r="444">
      <c r="B444" s="4"/>
      <c r="E444" s="4"/>
    </row>
    <row r="445">
      <c r="B445" s="4"/>
      <c r="E445" s="4"/>
    </row>
    <row r="446">
      <c r="B446" s="4"/>
      <c r="E446" s="4"/>
    </row>
    <row r="447">
      <c r="B447" s="4"/>
      <c r="E447" s="4"/>
    </row>
    <row r="448">
      <c r="B448" s="4"/>
      <c r="E448" s="4"/>
    </row>
    <row r="449">
      <c r="B449" s="4"/>
      <c r="E449" s="4"/>
    </row>
    <row r="450">
      <c r="B450" s="4"/>
      <c r="E450" s="4"/>
    </row>
    <row r="451">
      <c r="B451" s="4"/>
      <c r="E451" s="4"/>
    </row>
    <row r="452">
      <c r="B452" s="4"/>
      <c r="E452" s="4"/>
    </row>
    <row r="453">
      <c r="B453" s="4"/>
      <c r="E453" s="4"/>
    </row>
    <row r="454">
      <c r="B454" s="4"/>
      <c r="E454" s="4"/>
    </row>
    <row r="455">
      <c r="B455" s="4"/>
      <c r="E455" s="4"/>
    </row>
    <row r="456">
      <c r="B456" s="4"/>
      <c r="E456" s="4"/>
    </row>
    <row r="457">
      <c r="B457" s="4"/>
      <c r="E457" s="4"/>
    </row>
    <row r="458">
      <c r="B458" s="4"/>
      <c r="E458" s="4"/>
    </row>
    <row r="459">
      <c r="B459" s="4"/>
      <c r="E459" s="4"/>
    </row>
    <row r="460">
      <c r="B460" s="4"/>
      <c r="E460" s="4"/>
    </row>
    <row r="461">
      <c r="B461" s="4"/>
      <c r="E461" s="4"/>
    </row>
    <row r="462">
      <c r="B462" s="4"/>
      <c r="E462" s="4"/>
    </row>
    <row r="463">
      <c r="B463" s="4"/>
      <c r="E463" s="4"/>
    </row>
    <row r="464">
      <c r="B464" s="4"/>
      <c r="E464" s="4"/>
    </row>
    <row r="465">
      <c r="B465" s="4"/>
      <c r="E465" s="4"/>
    </row>
    <row r="466">
      <c r="B466" s="4"/>
      <c r="E466" s="4"/>
    </row>
    <row r="467">
      <c r="B467" s="4"/>
      <c r="E467" s="4"/>
    </row>
    <row r="468">
      <c r="B468" s="4"/>
      <c r="E468" s="4"/>
    </row>
    <row r="469">
      <c r="B469" s="4"/>
      <c r="E469" s="4"/>
    </row>
    <row r="470">
      <c r="B470" s="4"/>
      <c r="E470" s="4"/>
    </row>
    <row r="471">
      <c r="B471" s="4"/>
      <c r="E471" s="4"/>
    </row>
    <row r="472">
      <c r="B472" s="4"/>
      <c r="E472" s="4"/>
    </row>
    <row r="473">
      <c r="B473" s="4"/>
      <c r="E473" s="4"/>
    </row>
    <row r="474">
      <c r="B474" s="4"/>
      <c r="E474" s="4"/>
    </row>
    <row r="475">
      <c r="B475" s="4"/>
      <c r="E475" s="4"/>
    </row>
    <row r="476">
      <c r="B476" s="4"/>
      <c r="E476" s="4"/>
    </row>
    <row r="477">
      <c r="B477" s="4"/>
      <c r="E477" s="4"/>
    </row>
    <row r="478">
      <c r="B478" s="4"/>
      <c r="E478" s="4"/>
    </row>
    <row r="479">
      <c r="B479" s="4"/>
      <c r="E479" s="4"/>
    </row>
    <row r="480">
      <c r="B480" s="4"/>
      <c r="E480" s="4"/>
    </row>
    <row r="481">
      <c r="B481" s="4"/>
      <c r="E481" s="4"/>
    </row>
    <row r="482">
      <c r="B482" s="4"/>
      <c r="E482" s="4"/>
    </row>
    <row r="483">
      <c r="B483" s="4"/>
      <c r="E483" s="4"/>
    </row>
    <row r="484">
      <c r="B484" s="4"/>
      <c r="E484" s="4"/>
    </row>
    <row r="485">
      <c r="B485" s="4"/>
      <c r="E485" s="4"/>
    </row>
    <row r="486">
      <c r="B486" s="4"/>
      <c r="E486" s="4"/>
    </row>
    <row r="487">
      <c r="B487" s="4"/>
      <c r="E487" s="4"/>
    </row>
    <row r="488">
      <c r="B488" s="4"/>
      <c r="E488" s="4"/>
    </row>
    <row r="489">
      <c r="B489" s="4"/>
      <c r="E489" s="4"/>
    </row>
    <row r="490">
      <c r="B490" s="4"/>
      <c r="E490" s="4"/>
    </row>
    <row r="491">
      <c r="B491" s="4"/>
      <c r="E491" s="4"/>
    </row>
    <row r="492">
      <c r="B492" s="4"/>
      <c r="E492" s="4"/>
    </row>
    <row r="493">
      <c r="B493" s="4"/>
      <c r="E493" s="4"/>
    </row>
    <row r="494">
      <c r="B494" s="4"/>
      <c r="E494" s="4"/>
    </row>
    <row r="495">
      <c r="B495" s="4"/>
      <c r="E495" s="4"/>
    </row>
    <row r="496">
      <c r="B496" s="4"/>
      <c r="E496" s="4"/>
    </row>
    <row r="497">
      <c r="B497" s="4"/>
      <c r="E497" s="4"/>
    </row>
    <row r="498">
      <c r="B498" s="4"/>
      <c r="E498" s="4"/>
    </row>
    <row r="499">
      <c r="B499" s="4"/>
      <c r="E499" s="4"/>
    </row>
    <row r="500">
      <c r="B500" s="4"/>
      <c r="E500" s="4"/>
    </row>
    <row r="501">
      <c r="B501" s="4"/>
      <c r="E501" s="4"/>
    </row>
    <row r="502">
      <c r="B502" s="4"/>
      <c r="E502" s="4"/>
    </row>
    <row r="503">
      <c r="B503" s="4"/>
      <c r="E503" s="4"/>
    </row>
    <row r="504">
      <c r="B504" s="4"/>
      <c r="E504" s="4"/>
    </row>
    <row r="505">
      <c r="B505" s="4"/>
      <c r="E505" s="4"/>
    </row>
    <row r="506">
      <c r="B506" s="4"/>
      <c r="E506" s="4"/>
    </row>
    <row r="507">
      <c r="B507" s="4"/>
      <c r="E507" s="4"/>
    </row>
    <row r="508">
      <c r="B508" s="4"/>
      <c r="E508" s="4"/>
    </row>
    <row r="509">
      <c r="B509" s="4"/>
      <c r="E509" s="4"/>
    </row>
    <row r="510">
      <c r="B510" s="4"/>
      <c r="E510" s="4"/>
    </row>
    <row r="511">
      <c r="B511" s="4"/>
      <c r="E511" s="4"/>
    </row>
    <row r="512">
      <c r="B512" s="4"/>
      <c r="E512" s="4"/>
    </row>
    <row r="513">
      <c r="B513" s="4"/>
      <c r="E513" s="4"/>
    </row>
    <row r="514">
      <c r="B514" s="4"/>
      <c r="E514" s="4"/>
    </row>
    <row r="515">
      <c r="B515" s="4"/>
      <c r="E515" s="4"/>
    </row>
    <row r="516">
      <c r="B516" s="4"/>
      <c r="E516" s="4"/>
    </row>
    <row r="517">
      <c r="B517" s="4"/>
      <c r="E517" s="4"/>
    </row>
    <row r="518">
      <c r="B518" s="4"/>
      <c r="E518" s="4"/>
    </row>
    <row r="519">
      <c r="B519" s="4"/>
      <c r="E519" s="4"/>
    </row>
    <row r="520">
      <c r="B520" s="4"/>
      <c r="E520" s="4"/>
    </row>
    <row r="521">
      <c r="B521" s="4"/>
      <c r="E521" s="4"/>
    </row>
    <row r="522">
      <c r="B522" s="4"/>
      <c r="E522" s="4"/>
    </row>
    <row r="523">
      <c r="B523" s="4"/>
      <c r="E523" s="4"/>
    </row>
    <row r="524">
      <c r="B524" s="4"/>
      <c r="E524" s="4"/>
    </row>
    <row r="525">
      <c r="B525" s="4"/>
      <c r="E525" s="4"/>
    </row>
    <row r="526">
      <c r="B526" s="4"/>
      <c r="E526" s="4"/>
    </row>
    <row r="527">
      <c r="B527" s="4"/>
      <c r="E527" s="4"/>
    </row>
    <row r="528">
      <c r="B528" s="4"/>
      <c r="E528" s="4"/>
    </row>
    <row r="529">
      <c r="B529" s="4"/>
      <c r="E529" s="4"/>
    </row>
    <row r="530">
      <c r="B530" s="4"/>
      <c r="E530" s="4"/>
    </row>
    <row r="531">
      <c r="B531" s="4"/>
      <c r="E531" s="4"/>
    </row>
    <row r="532">
      <c r="B532" s="4"/>
      <c r="E532" s="4"/>
    </row>
    <row r="533">
      <c r="B533" s="4"/>
      <c r="E533" s="4"/>
    </row>
    <row r="534">
      <c r="B534" s="4"/>
      <c r="E534" s="4"/>
    </row>
    <row r="535">
      <c r="B535" s="4"/>
      <c r="E535" s="4"/>
    </row>
    <row r="536">
      <c r="B536" s="4"/>
      <c r="E536" s="4"/>
    </row>
    <row r="537">
      <c r="B537" s="4"/>
      <c r="E537" s="4"/>
    </row>
    <row r="538">
      <c r="B538" s="4"/>
      <c r="E538" s="4"/>
    </row>
    <row r="539">
      <c r="B539" s="4"/>
      <c r="E539" s="4"/>
    </row>
    <row r="540">
      <c r="B540" s="4"/>
      <c r="E540" s="4"/>
    </row>
    <row r="541">
      <c r="B541" s="4"/>
      <c r="E541" s="4"/>
    </row>
    <row r="542">
      <c r="B542" s="4"/>
      <c r="E542" s="4"/>
    </row>
    <row r="543">
      <c r="B543" s="4"/>
      <c r="E543" s="4"/>
    </row>
    <row r="544">
      <c r="B544" s="4"/>
      <c r="E544" s="4"/>
    </row>
    <row r="545">
      <c r="B545" s="4"/>
      <c r="E545" s="4"/>
    </row>
    <row r="546">
      <c r="B546" s="4"/>
      <c r="E546" s="4"/>
    </row>
    <row r="547">
      <c r="B547" s="4"/>
      <c r="E547" s="4"/>
    </row>
    <row r="548">
      <c r="B548" s="4"/>
      <c r="E548" s="4"/>
    </row>
    <row r="549">
      <c r="B549" s="4"/>
      <c r="E549" s="4"/>
    </row>
    <row r="550">
      <c r="B550" s="4"/>
      <c r="E550" s="4"/>
    </row>
    <row r="551">
      <c r="B551" s="4"/>
      <c r="E551" s="4"/>
    </row>
    <row r="552">
      <c r="B552" s="4"/>
      <c r="E552" s="4"/>
    </row>
    <row r="553">
      <c r="B553" s="4"/>
      <c r="E553" s="4"/>
    </row>
    <row r="554">
      <c r="B554" s="4"/>
      <c r="E554" s="4"/>
    </row>
    <row r="555">
      <c r="B555" s="4"/>
      <c r="E555" s="4"/>
    </row>
    <row r="556">
      <c r="B556" s="4"/>
      <c r="E556" s="4"/>
    </row>
    <row r="557">
      <c r="B557" s="4"/>
      <c r="E557" s="4"/>
    </row>
    <row r="558">
      <c r="B558" s="4"/>
      <c r="E558" s="4"/>
    </row>
    <row r="559">
      <c r="B559" s="4"/>
      <c r="E559" s="4"/>
    </row>
    <row r="560">
      <c r="B560" s="4"/>
      <c r="E560" s="4"/>
    </row>
    <row r="561">
      <c r="B561" s="4"/>
      <c r="E561" s="4"/>
    </row>
    <row r="562">
      <c r="B562" s="4"/>
      <c r="E562" s="4"/>
    </row>
    <row r="563">
      <c r="B563" s="4"/>
      <c r="E563" s="4"/>
    </row>
    <row r="564">
      <c r="B564" s="4"/>
      <c r="E564" s="4"/>
    </row>
    <row r="565">
      <c r="B565" s="4"/>
      <c r="E565" s="4"/>
    </row>
    <row r="566">
      <c r="B566" s="4"/>
      <c r="E566" s="4"/>
    </row>
    <row r="567">
      <c r="B567" s="4"/>
      <c r="E567" s="4"/>
    </row>
    <row r="568">
      <c r="B568" s="4"/>
      <c r="E568" s="4"/>
    </row>
    <row r="569">
      <c r="B569" s="4"/>
      <c r="E569" s="4"/>
    </row>
    <row r="570">
      <c r="B570" s="4"/>
      <c r="E570" s="4"/>
    </row>
    <row r="571">
      <c r="B571" s="4"/>
      <c r="E571" s="4"/>
    </row>
    <row r="572">
      <c r="B572" s="4"/>
      <c r="E572" s="4"/>
    </row>
    <row r="573">
      <c r="B573" s="4"/>
      <c r="E573" s="4"/>
    </row>
    <row r="574">
      <c r="B574" s="4"/>
      <c r="E574" s="4"/>
    </row>
    <row r="575">
      <c r="B575" s="4"/>
      <c r="E575" s="4"/>
    </row>
    <row r="576">
      <c r="B576" s="4"/>
      <c r="E576" s="4"/>
    </row>
    <row r="577">
      <c r="B577" s="4"/>
      <c r="E577" s="4"/>
    </row>
    <row r="578">
      <c r="B578" s="4"/>
      <c r="E578" s="4"/>
    </row>
    <row r="579">
      <c r="B579" s="4"/>
      <c r="E579" s="4"/>
    </row>
    <row r="580">
      <c r="B580" s="4"/>
      <c r="E580" s="4"/>
    </row>
    <row r="581">
      <c r="B581" s="4"/>
      <c r="E581" s="4"/>
    </row>
    <row r="582">
      <c r="B582" s="4"/>
      <c r="E582" s="4"/>
    </row>
    <row r="583">
      <c r="B583" s="4"/>
      <c r="E583" s="4"/>
    </row>
    <row r="584">
      <c r="B584" s="4"/>
      <c r="E584" s="4"/>
    </row>
    <row r="585">
      <c r="B585" s="4"/>
      <c r="E585" s="4"/>
    </row>
    <row r="586">
      <c r="B586" s="4"/>
      <c r="E586" s="4"/>
    </row>
    <row r="587">
      <c r="B587" s="4"/>
      <c r="E587" s="4"/>
    </row>
    <row r="588">
      <c r="B588" s="4"/>
      <c r="E588" s="4"/>
    </row>
    <row r="589">
      <c r="B589" s="4"/>
      <c r="E589" s="4"/>
    </row>
    <row r="590">
      <c r="B590" s="4"/>
      <c r="E590" s="4"/>
    </row>
    <row r="591">
      <c r="B591" s="4"/>
      <c r="E591" s="4"/>
    </row>
    <row r="592">
      <c r="B592" s="4"/>
      <c r="E592" s="4"/>
    </row>
    <row r="593">
      <c r="B593" s="4"/>
      <c r="E593" s="4"/>
    </row>
    <row r="594">
      <c r="B594" s="4"/>
      <c r="E594" s="4"/>
    </row>
    <row r="595">
      <c r="B595" s="4"/>
      <c r="E595" s="4"/>
    </row>
    <row r="596">
      <c r="B596" s="4"/>
      <c r="E596" s="4"/>
    </row>
    <row r="597">
      <c r="B597" s="4"/>
      <c r="E597" s="4"/>
    </row>
    <row r="598">
      <c r="B598" s="4"/>
      <c r="E598" s="4"/>
    </row>
    <row r="599">
      <c r="B599" s="4"/>
      <c r="E599" s="4"/>
    </row>
    <row r="600">
      <c r="B600" s="4"/>
      <c r="E600" s="4"/>
    </row>
    <row r="601">
      <c r="B601" s="4"/>
      <c r="E601" s="4"/>
    </row>
    <row r="602">
      <c r="B602" s="4"/>
      <c r="E602" s="4"/>
    </row>
    <row r="603">
      <c r="B603" s="4"/>
      <c r="E603" s="4"/>
    </row>
    <row r="604">
      <c r="B604" s="4"/>
      <c r="E604" s="4"/>
    </row>
    <row r="605">
      <c r="B605" s="4"/>
      <c r="E605" s="4"/>
    </row>
    <row r="606">
      <c r="B606" s="4"/>
      <c r="E606" s="4"/>
    </row>
    <row r="607">
      <c r="B607" s="4"/>
      <c r="E607" s="4"/>
    </row>
    <row r="608">
      <c r="B608" s="4"/>
      <c r="E608" s="4"/>
    </row>
    <row r="609">
      <c r="B609" s="4"/>
      <c r="E609" s="4"/>
    </row>
    <row r="610">
      <c r="B610" s="4"/>
      <c r="E610" s="4"/>
    </row>
    <row r="611">
      <c r="B611" s="4"/>
      <c r="E611" s="4"/>
    </row>
    <row r="612">
      <c r="B612" s="4"/>
      <c r="E612" s="4"/>
    </row>
    <row r="613">
      <c r="B613" s="4"/>
      <c r="E613" s="4"/>
    </row>
    <row r="614">
      <c r="B614" s="4"/>
      <c r="E614" s="4"/>
    </row>
    <row r="615">
      <c r="B615" s="4"/>
      <c r="E615" s="4"/>
    </row>
    <row r="616">
      <c r="B616" s="4"/>
      <c r="E616" s="4"/>
    </row>
    <row r="617">
      <c r="B617" s="4"/>
      <c r="E617" s="4"/>
    </row>
    <row r="618">
      <c r="B618" s="4"/>
      <c r="E618" s="4"/>
    </row>
    <row r="619">
      <c r="B619" s="4"/>
      <c r="E619" s="4"/>
    </row>
    <row r="620">
      <c r="B620" s="4"/>
      <c r="E620" s="4"/>
    </row>
    <row r="621">
      <c r="B621" s="4"/>
      <c r="E621" s="4"/>
    </row>
    <row r="622">
      <c r="B622" s="4"/>
      <c r="E622" s="4"/>
    </row>
    <row r="623">
      <c r="B623" s="4"/>
      <c r="E623" s="4"/>
    </row>
    <row r="624">
      <c r="B624" s="4"/>
      <c r="E624" s="4"/>
    </row>
    <row r="625">
      <c r="B625" s="4"/>
      <c r="E625" s="4"/>
    </row>
    <row r="626">
      <c r="B626" s="4"/>
      <c r="E626" s="4"/>
    </row>
    <row r="627">
      <c r="B627" s="4"/>
      <c r="E627" s="4"/>
    </row>
    <row r="628">
      <c r="B628" s="4"/>
      <c r="E628" s="4"/>
    </row>
    <row r="629">
      <c r="B629" s="4"/>
      <c r="E629" s="4"/>
    </row>
    <row r="630">
      <c r="B630" s="4"/>
      <c r="E630" s="4"/>
    </row>
    <row r="631">
      <c r="B631" s="4"/>
      <c r="E631" s="4"/>
    </row>
    <row r="632">
      <c r="B632" s="4"/>
      <c r="E632" s="4"/>
    </row>
    <row r="633">
      <c r="B633" s="4"/>
      <c r="E633" s="4"/>
    </row>
    <row r="634">
      <c r="B634" s="4"/>
      <c r="E634" s="4"/>
    </row>
    <row r="635">
      <c r="B635" s="4"/>
      <c r="E635" s="4"/>
    </row>
    <row r="636">
      <c r="B636" s="4"/>
      <c r="E636" s="4"/>
    </row>
    <row r="637">
      <c r="B637" s="4"/>
      <c r="E637" s="4"/>
    </row>
    <row r="638">
      <c r="B638" s="4"/>
      <c r="E638" s="4"/>
    </row>
    <row r="639">
      <c r="B639" s="4"/>
      <c r="E639" s="4"/>
    </row>
    <row r="640">
      <c r="B640" s="4"/>
      <c r="E640" s="4"/>
    </row>
    <row r="641">
      <c r="B641" s="4"/>
      <c r="E641" s="4"/>
    </row>
    <row r="642">
      <c r="B642" s="4"/>
      <c r="E642" s="4"/>
    </row>
    <row r="643">
      <c r="B643" s="4"/>
      <c r="E643" s="4"/>
    </row>
    <row r="644">
      <c r="B644" s="4"/>
      <c r="E644" s="4"/>
    </row>
    <row r="645">
      <c r="B645" s="4"/>
      <c r="E645" s="4"/>
    </row>
    <row r="646">
      <c r="B646" s="4"/>
      <c r="E646" s="4"/>
    </row>
    <row r="647">
      <c r="B647" s="4"/>
      <c r="E647" s="4"/>
    </row>
    <row r="648">
      <c r="B648" s="4"/>
      <c r="E648" s="4"/>
    </row>
    <row r="649">
      <c r="B649" s="4"/>
      <c r="E649" s="4"/>
    </row>
    <row r="650">
      <c r="B650" s="4"/>
      <c r="E650" s="4"/>
    </row>
    <row r="651">
      <c r="B651" s="4"/>
      <c r="E651" s="4"/>
    </row>
    <row r="652">
      <c r="B652" s="4"/>
      <c r="E652" s="4"/>
    </row>
    <row r="653">
      <c r="B653" s="4"/>
      <c r="E653" s="4"/>
    </row>
    <row r="654">
      <c r="B654" s="4"/>
      <c r="E654" s="4"/>
    </row>
    <row r="655">
      <c r="B655" s="4"/>
      <c r="E655" s="4"/>
    </row>
    <row r="656">
      <c r="B656" s="4"/>
      <c r="E656" s="4"/>
    </row>
    <row r="657">
      <c r="B657" s="4"/>
      <c r="E657" s="4"/>
    </row>
    <row r="658">
      <c r="B658" s="4"/>
      <c r="E658" s="4"/>
    </row>
    <row r="659">
      <c r="B659" s="4"/>
      <c r="E659" s="4"/>
    </row>
    <row r="660">
      <c r="B660" s="4"/>
      <c r="E660" s="4"/>
    </row>
    <row r="661">
      <c r="B661" s="4"/>
      <c r="E661" s="4"/>
    </row>
    <row r="662">
      <c r="B662" s="4"/>
      <c r="E662" s="4"/>
    </row>
    <row r="663">
      <c r="B663" s="4"/>
      <c r="E663" s="4"/>
    </row>
    <row r="664">
      <c r="B664" s="4"/>
      <c r="E664" s="4"/>
    </row>
    <row r="665">
      <c r="B665" s="4"/>
      <c r="E665" s="4"/>
    </row>
    <row r="666">
      <c r="B666" s="4"/>
      <c r="E666" s="4"/>
    </row>
    <row r="667">
      <c r="B667" s="4"/>
      <c r="E667" s="4"/>
    </row>
    <row r="668">
      <c r="B668" s="4"/>
      <c r="E668" s="4"/>
    </row>
    <row r="669">
      <c r="B669" s="4"/>
      <c r="E669" s="4"/>
    </row>
    <row r="670">
      <c r="B670" s="4"/>
      <c r="E670" s="4"/>
    </row>
    <row r="671">
      <c r="B671" s="4"/>
      <c r="E671" s="4"/>
    </row>
    <row r="672">
      <c r="B672" s="4"/>
      <c r="E672" s="4"/>
    </row>
    <row r="673">
      <c r="B673" s="4"/>
      <c r="E673" s="4"/>
    </row>
    <row r="674">
      <c r="B674" s="4"/>
      <c r="E674" s="4"/>
    </row>
    <row r="675">
      <c r="B675" s="4"/>
      <c r="E675" s="4"/>
    </row>
    <row r="676">
      <c r="B676" s="4"/>
      <c r="E676" s="4"/>
    </row>
    <row r="677">
      <c r="B677" s="4"/>
      <c r="E677" s="4"/>
    </row>
    <row r="678">
      <c r="B678" s="4"/>
      <c r="E678" s="4"/>
    </row>
    <row r="679">
      <c r="B679" s="4"/>
      <c r="E679" s="4"/>
    </row>
    <row r="680">
      <c r="B680" s="4"/>
      <c r="E680" s="4"/>
    </row>
    <row r="681">
      <c r="B681" s="4"/>
      <c r="E681" s="4"/>
    </row>
    <row r="682">
      <c r="B682" s="4"/>
      <c r="E682" s="4"/>
    </row>
    <row r="683">
      <c r="B683" s="4"/>
      <c r="E683" s="4"/>
    </row>
    <row r="684">
      <c r="B684" s="4"/>
      <c r="E684" s="4"/>
    </row>
    <row r="685">
      <c r="B685" s="4"/>
      <c r="E685" s="4"/>
    </row>
    <row r="686">
      <c r="B686" s="4"/>
      <c r="E686" s="4"/>
    </row>
    <row r="687">
      <c r="B687" s="4"/>
      <c r="E687" s="4"/>
    </row>
    <row r="688">
      <c r="B688" s="4"/>
      <c r="E688" s="4"/>
    </row>
    <row r="689">
      <c r="B689" s="4"/>
      <c r="E689" s="4"/>
    </row>
    <row r="690">
      <c r="B690" s="4"/>
      <c r="E690" s="4"/>
    </row>
    <row r="691">
      <c r="B691" s="4"/>
      <c r="E691" s="4"/>
    </row>
    <row r="692">
      <c r="B692" s="4"/>
      <c r="E692" s="4"/>
    </row>
    <row r="693">
      <c r="B693" s="4"/>
      <c r="E693" s="4"/>
    </row>
    <row r="694">
      <c r="B694" s="4"/>
      <c r="E694" s="4"/>
    </row>
    <row r="695">
      <c r="B695" s="4"/>
      <c r="E695" s="4"/>
    </row>
    <row r="696">
      <c r="B696" s="4"/>
      <c r="E696" s="4"/>
    </row>
    <row r="697">
      <c r="B697" s="4"/>
      <c r="E697" s="4"/>
    </row>
    <row r="698">
      <c r="B698" s="4"/>
      <c r="E698" s="4"/>
    </row>
    <row r="699">
      <c r="B699" s="4"/>
      <c r="E699" s="4"/>
    </row>
    <row r="700">
      <c r="B700" s="4"/>
      <c r="E700" s="4"/>
    </row>
    <row r="701">
      <c r="B701" s="4"/>
      <c r="E701" s="4"/>
    </row>
    <row r="702">
      <c r="B702" s="4"/>
      <c r="E702" s="4"/>
    </row>
    <row r="703">
      <c r="B703" s="4"/>
      <c r="E703" s="4"/>
    </row>
    <row r="704">
      <c r="B704" s="4"/>
      <c r="E704" s="4"/>
    </row>
    <row r="705">
      <c r="B705" s="4"/>
      <c r="E705" s="4"/>
    </row>
    <row r="706">
      <c r="B706" s="4"/>
      <c r="E706" s="4"/>
    </row>
    <row r="707">
      <c r="B707" s="4"/>
      <c r="E707" s="4"/>
    </row>
    <row r="708">
      <c r="B708" s="4"/>
      <c r="E708" s="4"/>
    </row>
    <row r="709">
      <c r="B709" s="4"/>
      <c r="E709" s="4"/>
    </row>
    <row r="710">
      <c r="B710" s="4"/>
      <c r="E710" s="4"/>
    </row>
    <row r="711">
      <c r="B711" s="4"/>
      <c r="E711" s="4"/>
    </row>
    <row r="712">
      <c r="B712" s="4"/>
      <c r="E712" s="4"/>
    </row>
    <row r="713">
      <c r="B713" s="4"/>
      <c r="E713" s="4"/>
    </row>
    <row r="714">
      <c r="B714" s="4"/>
      <c r="E714" s="4"/>
    </row>
    <row r="715">
      <c r="B715" s="4"/>
      <c r="E715" s="4"/>
    </row>
    <row r="716">
      <c r="B716" s="4"/>
      <c r="E716" s="4"/>
    </row>
    <row r="717">
      <c r="B717" s="4"/>
      <c r="E717" s="4"/>
    </row>
    <row r="718">
      <c r="B718" s="4"/>
      <c r="E718" s="4"/>
    </row>
    <row r="719">
      <c r="B719" s="4"/>
      <c r="E719" s="4"/>
    </row>
    <row r="720">
      <c r="B720" s="4"/>
      <c r="E720" s="4"/>
    </row>
    <row r="721">
      <c r="B721" s="4"/>
      <c r="E721" s="4"/>
    </row>
    <row r="722">
      <c r="B722" s="4"/>
      <c r="E722" s="4"/>
    </row>
    <row r="723">
      <c r="B723" s="4"/>
      <c r="E723" s="4"/>
    </row>
    <row r="724">
      <c r="B724" s="4"/>
      <c r="E724" s="4"/>
    </row>
    <row r="725">
      <c r="B725" s="4"/>
      <c r="E725" s="4"/>
    </row>
    <row r="726">
      <c r="B726" s="4"/>
      <c r="E726" s="4"/>
    </row>
    <row r="727">
      <c r="B727" s="4"/>
      <c r="E727" s="4"/>
    </row>
    <row r="728">
      <c r="B728" s="4"/>
      <c r="E728" s="4"/>
    </row>
    <row r="729">
      <c r="B729" s="4"/>
      <c r="E729" s="4"/>
    </row>
    <row r="730">
      <c r="B730" s="4"/>
      <c r="E730" s="4"/>
    </row>
    <row r="731">
      <c r="B731" s="4"/>
      <c r="E731" s="4"/>
    </row>
    <row r="732">
      <c r="B732" s="4"/>
      <c r="E732" s="4"/>
    </row>
    <row r="733">
      <c r="B733" s="4"/>
      <c r="E733" s="4"/>
    </row>
    <row r="734">
      <c r="B734" s="4"/>
      <c r="E734" s="4"/>
    </row>
    <row r="735">
      <c r="B735" s="4"/>
      <c r="E735" s="4"/>
    </row>
    <row r="736">
      <c r="B736" s="4"/>
      <c r="E736" s="4"/>
    </row>
    <row r="737">
      <c r="B737" s="4"/>
      <c r="E737" s="4"/>
    </row>
    <row r="738">
      <c r="B738" s="4"/>
      <c r="E738" s="4"/>
    </row>
    <row r="739">
      <c r="B739" s="4"/>
      <c r="E739" s="4"/>
    </row>
    <row r="740">
      <c r="B740" s="4"/>
      <c r="E740" s="4"/>
    </row>
    <row r="741">
      <c r="B741" s="4"/>
      <c r="E741" s="4"/>
    </row>
    <row r="742">
      <c r="B742" s="4"/>
      <c r="E742" s="4"/>
    </row>
    <row r="743">
      <c r="B743" s="4"/>
      <c r="E743" s="4"/>
    </row>
    <row r="744">
      <c r="B744" s="4"/>
      <c r="E744" s="4"/>
    </row>
    <row r="745">
      <c r="B745" s="4"/>
      <c r="E745" s="4"/>
    </row>
    <row r="746">
      <c r="B746" s="4"/>
      <c r="E746" s="4"/>
    </row>
    <row r="747">
      <c r="B747" s="4"/>
      <c r="E747" s="4"/>
    </row>
    <row r="748">
      <c r="B748" s="4"/>
      <c r="E748" s="4"/>
    </row>
    <row r="749">
      <c r="B749" s="4"/>
      <c r="E749" s="4"/>
    </row>
    <row r="750">
      <c r="B750" s="4"/>
      <c r="E750" s="4"/>
    </row>
    <row r="751">
      <c r="B751" s="4"/>
      <c r="E751" s="4"/>
    </row>
    <row r="752">
      <c r="B752" s="4"/>
      <c r="E752" s="4"/>
    </row>
    <row r="753">
      <c r="B753" s="4"/>
      <c r="E753" s="4"/>
    </row>
    <row r="754">
      <c r="B754" s="4"/>
      <c r="E754" s="4"/>
    </row>
    <row r="755">
      <c r="B755" s="4"/>
      <c r="E755" s="4"/>
    </row>
    <row r="756">
      <c r="B756" s="4"/>
      <c r="E756" s="4"/>
    </row>
    <row r="757">
      <c r="B757" s="4"/>
      <c r="E757" s="4"/>
    </row>
    <row r="758">
      <c r="B758" s="4"/>
      <c r="E758" s="4"/>
    </row>
    <row r="759">
      <c r="B759" s="4"/>
      <c r="E759" s="4"/>
    </row>
    <row r="760">
      <c r="B760" s="4"/>
      <c r="E760" s="4"/>
    </row>
    <row r="761">
      <c r="B761" s="4"/>
      <c r="E761" s="4"/>
    </row>
    <row r="762">
      <c r="B762" s="4"/>
      <c r="E762" s="4"/>
    </row>
    <row r="763">
      <c r="B763" s="4"/>
      <c r="E763" s="4"/>
    </row>
    <row r="764">
      <c r="B764" s="4"/>
      <c r="E764" s="4"/>
    </row>
    <row r="765">
      <c r="B765" s="4"/>
      <c r="E765" s="4"/>
    </row>
    <row r="766">
      <c r="B766" s="4"/>
      <c r="E766" s="4"/>
    </row>
    <row r="767">
      <c r="B767" s="4"/>
      <c r="E767" s="4"/>
    </row>
    <row r="768">
      <c r="B768" s="4"/>
      <c r="E768" s="4"/>
    </row>
    <row r="769">
      <c r="B769" s="4"/>
      <c r="E769" s="4"/>
    </row>
    <row r="770">
      <c r="B770" s="4"/>
      <c r="E770" s="4"/>
    </row>
    <row r="771">
      <c r="B771" s="4"/>
      <c r="E771" s="4"/>
    </row>
    <row r="772">
      <c r="B772" s="4"/>
      <c r="E772" s="4"/>
    </row>
    <row r="773">
      <c r="B773" s="4"/>
      <c r="E773" s="4"/>
    </row>
    <row r="774">
      <c r="B774" s="4"/>
      <c r="E774" s="4"/>
    </row>
    <row r="775">
      <c r="B775" s="4"/>
      <c r="E775" s="4"/>
    </row>
    <row r="776">
      <c r="B776" s="4"/>
      <c r="E776" s="4"/>
    </row>
    <row r="777">
      <c r="B777" s="4"/>
      <c r="E777" s="4"/>
    </row>
    <row r="778">
      <c r="B778" s="4"/>
      <c r="E778" s="4"/>
    </row>
    <row r="779">
      <c r="B779" s="4"/>
      <c r="E779" s="4"/>
    </row>
    <row r="780">
      <c r="B780" s="4"/>
      <c r="E780" s="4"/>
    </row>
    <row r="781">
      <c r="B781" s="4"/>
      <c r="E781" s="4"/>
    </row>
    <row r="782">
      <c r="B782" s="4"/>
      <c r="E782" s="4"/>
    </row>
    <row r="783">
      <c r="B783" s="4"/>
      <c r="E783" s="4"/>
    </row>
    <row r="784">
      <c r="B784" s="4"/>
      <c r="E784" s="4"/>
    </row>
    <row r="785">
      <c r="B785" s="4"/>
      <c r="E785" s="4"/>
    </row>
    <row r="786">
      <c r="B786" s="4"/>
      <c r="E786" s="4"/>
    </row>
    <row r="787">
      <c r="B787" s="4"/>
      <c r="E787" s="4"/>
    </row>
    <row r="788">
      <c r="B788" s="4"/>
      <c r="E788" s="4"/>
    </row>
    <row r="789">
      <c r="B789" s="4"/>
      <c r="E789" s="4"/>
    </row>
    <row r="790">
      <c r="B790" s="4"/>
      <c r="E790" s="4"/>
    </row>
    <row r="791">
      <c r="B791" s="4"/>
      <c r="E791" s="4"/>
    </row>
    <row r="792">
      <c r="B792" s="4"/>
      <c r="E792" s="4"/>
    </row>
    <row r="793">
      <c r="B793" s="4"/>
      <c r="E793" s="4"/>
    </row>
    <row r="794">
      <c r="B794" s="4"/>
      <c r="E794" s="4"/>
    </row>
    <row r="795">
      <c r="B795" s="4"/>
      <c r="E795" s="4"/>
    </row>
    <row r="796">
      <c r="B796" s="4"/>
      <c r="E796" s="4"/>
    </row>
    <row r="797">
      <c r="B797" s="4"/>
      <c r="E797" s="4"/>
    </row>
    <row r="798">
      <c r="B798" s="4"/>
      <c r="E798" s="4"/>
    </row>
    <row r="799">
      <c r="B799" s="4"/>
      <c r="E799" s="4"/>
    </row>
    <row r="800">
      <c r="B800" s="4"/>
      <c r="E800" s="4"/>
    </row>
    <row r="801">
      <c r="B801" s="4"/>
      <c r="E801" s="4"/>
    </row>
    <row r="802">
      <c r="B802" s="4"/>
      <c r="E802" s="4"/>
    </row>
    <row r="803">
      <c r="B803" s="4"/>
      <c r="E803" s="4"/>
    </row>
    <row r="804">
      <c r="B804" s="4"/>
      <c r="E804" s="4"/>
    </row>
    <row r="805">
      <c r="B805" s="4"/>
      <c r="E805" s="4"/>
    </row>
    <row r="806">
      <c r="B806" s="4"/>
      <c r="E806" s="4"/>
    </row>
    <row r="807">
      <c r="B807" s="4"/>
      <c r="E807" s="4"/>
    </row>
    <row r="808">
      <c r="B808" s="4"/>
      <c r="E808" s="4"/>
    </row>
    <row r="809">
      <c r="B809" s="4"/>
      <c r="E809" s="4"/>
    </row>
    <row r="810">
      <c r="B810" s="4"/>
      <c r="E810" s="4"/>
    </row>
    <row r="811">
      <c r="B811" s="4"/>
      <c r="E811" s="4"/>
    </row>
    <row r="812">
      <c r="B812" s="4"/>
      <c r="E812" s="4"/>
    </row>
    <row r="813">
      <c r="B813" s="4"/>
      <c r="E813" s="4"/>
    </row>
    <row r="814">
      <c r="B814" s="4"/>
      <c r="E814" s="4"/>
    </row>
    <row r="815">
      <c r="B815" s="4"/>
      <c r="E815" s="4"/>
    </row>
    <row r="816">
      <c r="B816" s="4"/>
      <c r="E816" s="4"/>
    </row>
    <row r="817">
      <c r="B817" s="4"/>
      <c r="E817" s="4"/>
    </row>
    <row r="818">
      <c r="B818" s="4"/>
      <c r="E818" s="4"/>
    </row>
    <row r="819">
      <c r="B819" s="4"/>
      <c r="E819" s="4"/>
    </row>
    <row r="820">
      <c r="B820" s="4"/>
      <c r="E820" s="4"/>
    </row>
    <row r="821">
      <c r="B821" s="4"/>
      <c r="E821" s="4"/>
    </row>
    <row r="822">
      <c r="B822" s="4"/>
      <c r="E822" s="4"/>
    </row>
    <row r="823">
      <c r="B823" s="4"/>
      <c r="E823" s="4"/>
    </row>
    <row r="824">
      <c r="B824" s="4"/>
      <c r="E824" s="4"/>
    </row>
    <row r="825">
      <c r="B825" s="4"/>
      <c r="E825" s="4"/>
    </row>
    <row r="826">
      <c r="B826" s="4"/>
      <c r="E826" s="4"/>
    </row>
    <row r="827">
      <c r="B827" s="4"/>
      <c r="E827" s="4"/>
    </row>
    <row r="828">
      <c r="B828" s="4"/>
      <c r="E828" s="4"/>
    </row>
    <row r="829">
      <c r="B829" s="4"/>
      <c r="E829" s="4"/>
    </row>
    <row r="830">
      <c r="B830" s="4"/>
      <c r="E830" s="4"/>
    </row>
    <row r="831">
      <c r="B831" s="4"/>
      <c r="E831" s="4"/>
    </row>
    <row r="832">
      <c r="B832" s="4"/>
      <c r="E832" s="4"/>
    </row>
    <row r="833">
      <c r="B833" s="4"/>
      <c r="E833" s="4"/>
    </row>
    <row r="834">
      <c r="B834" s="4"/>
      <c r="E834" s="4"/>
    </row>
    <row r="835">
      <c r="B835" s="4"/>
      <c r="E835" s="4"/>
    </row>
    <row r="836">
      <c r="B836" s="4"/>
      <c r="E836" s="4"/>
    </row>
    <row r="837">
      <c r="B837" s="4"/>
      <c r="E837" s="4"/>
    </row>
    <row r="838">
      <c r="B838" s="4"/>
      <c r="E838" s="4"/>
    </row>
    <row r="839">
      <c r="B839" s="4"/>
      <c r="E839" s="4"/>
    </row>
    <row r="840">
      <c r="B840" s="4"/>
      <c r="E840" s="4"/>
    </row>
    <row r="841">
      <c r="B841" s="4"/>
      <c r="E841" s="4"/>
    </row>
    <row r="842">
      <c r="B842" s="4"/>
      <c r="E842" s="4"/>
    </row>
    <row r="843">
      <c r="B843" s="4"/>
      <c r="E843" s="4"/>
    </row>
    <row r="844">
      <c r="B844" s="4"/>
      <c r="E844" s="4"/>
    </row>
    <row r="845">
      <c r="B845" s="4"/>
      <c r="E845" s="4"/>
    </row>
    <row r="846">
      <c r="B846" s="4"/>
      <c r="E846" s="4"/>
    </row>
    <row r="847">
      <c r="B847" s="4"/>
      <c r="E847" s="4"/>
    </row>
    <row r="848">
      <c r="B848" s="4"/>
      <c r="E848" s="4"/>
    </row>
    <row r="849">
      <c r="B849" s="4"/>
      <c r="E849" s="4"/>
    </row>
    <row r="850">
      <c r="B850" s="4"/>
      <c r="E850" s="4"/>
    </row>
    <row r="851">
      <c r="B851" s="4"/>
      <c r="E851" s="4"/>
    </row>
    <row r="852">
      <c r="B852" s="4"/>
      <c r="E852" s="4"/>
    </row>
    <row r="853">
      <c r="B853" s="4"/>
      <c r="E853" s="4"/>
    </row>
    <row r="854">
      <c r="B854" s="4"/>
      <c r="E854" s="4"/>
    </row>
    <row r="855">
      <c r="B855" s="4"/>
      <c r="E855" s="4"/>
    </row>
    <row r="856">
      <c r="B856" s="4"/>
      <c r="E856" s="4"/>
    </row>
    <row r="857">
      <c r="B857" s="4"/>
      <c r="E857" s="4"/>
    </row>
    <row r="858">
      <c r="B858" s="4"/>
      <c r="E858" s="4"/>
    </row>
    <row r="859">
      <c r="B859" s="4"/>
      <c r="E859" s="4"/>
    </row>
    <row r="860">
      <c r="B860" s="4"/>
      <c r="E860" s="4"/>
    </row>
    <row r="861">
      <c r="B861" s="4"/>
      <c r="E861" s="4"/>
    </row>
    <row r="862">
      <c r="B862" s="4"/>
      <c r="E862" s="4"/>
    </row>
    <row r="863">
      <c r="B863" s="4"/>
      <c r="E863" s="4"/>
    </row>
    <row r="864">
      <c r="B864" s="4"/>
      <c r="E864" s="4"/>
    </row>
    <row r="865">
      <c r="B865" s="4"/>
      <c r="E865" s="4"/>
    </row>
    <row r="866">
      <c r="B866" s="4"/>
      <c r="E866" s="4"/>
    </row>
    <row r="867">
      <c r="B867" s="4"/>
      <c r="E867" s="4"/>
    </row>
    <row r="868">
      <c r="B868" s="4"/>
      <c r="E868" s="4"/>
    </row>
    <row r="869">
      <c r="B869" s="4"/>
      <c r="E869" s="4"/>
    </row>
    <row r="870">
      <c r="B870" s="4"/>
      <c r="E870" s="4"/>
    </row>
    <row r="871">
      <c r="B871" s="4"/>
      <c r="E871" s="4"/>
    </row>
    <row r="872">
      <c r="B872" s="4"/>
      <c r="E872" s="4"/>
    </row>
    <row r="873">
      <c r="B873" s="4"/>
      <c r="E873" s="4"/>
    </row>
    <row r="874">
      <c r="B874" s="4"/>
      <c r="E874" s="4"/>
    </row>
    <row r="875">
      <c r="B875" s="4"/>
      <c r="E875" s="4"/>
    </row>
    <row r="876">
      <c r="B876" s="4"/>
      <c r="E876" s="4"/>
    </row>
    <row r="877">
      <c r="B877" s="4"/>
      <c r="E877" s="4"/>
    </row>
    <row r="878">
      <c r="B878" s="4"/>
      <c r="E878" s="4"/>
    </row>
    <row r="879">
      <c r="B879" s="4"/>
      <c r="E879" s="4"/>
    </row>
    <row r="880">
      <c r="B880" s="4"/>
      <c r="E880" s="4"/>
    </row>
    <row r="881">
      <c r="B881" s="4"/>
      <c r="E881" s="4"/>
    </row>
    <row r="882">
      <c r="B882" s="4"/>
      <c r="E882" s="4"/>
    </row>
    <row r="883">
      <c r="B883" s="4"/>
      <c r="E883" s="4"/>
    </row>
    <row r="884">
      <c r="B884" s="4"/>
      <c r="E884" s="4"/>
    </row>
    <row r="885">
      <c r="B885" s="4"/>
      <c r="E885" s="4"/>
    </row>
    <row r="886">
      <c r="B886" s="4"/>
      <c r="E886" s="4"/>
    </row>
    <row r="887">
      <c r="B887" s="4"/>
      <c r="E887" s="4"/>
    </row>
    <row r="888">
      <c r="B888" s="4"/>
      <c r="E888" s="4"/>
    </row>
    <row r="889">
      <c r="B889" s="4"/>
      <c r="E889" s="4"/>
    </row>
    <row r="890">
      <c r="B890" s="4"/>
      <c r="E890" s="4"/>
    </row>
    <row r="891">
      <c r="B891" s="4"/>
      <c r="E891" s="4"/>
    </row>
    <row r="892">
      <c r="B892" s="4"/>
      <c r="E892" s="4"/>
    </row>
    <row r="893">
      <c r="B893" s="4"/>
      <c r="E893" s="4"/>
    </row>
    <row r="894">
      <c r="B894" s="4"/>
      <c r="E894" s="4"/>
    </row>
    <row r="895">
      <c r="B895" s="4"/>
      <c r="E895" s="4"/>
    </row>
    <row r="896">
      <c r="B896" s="4"/>
      <c r="E896" s="4"/>
    </row>
    <row r="897">
      <c r="B897" s="4"/>
      <c r="E897" s="4"/>
    </row>
    <row r="898">
      <c r="B898" s="4"/>
      <c r="E898" s="4"/>
    </row>
    <row r="899">
      <c r="B899" s="4"/>
      <c r="E899" s="4"/>
    </row>
    <row r="900">
      <c r="B900" s="4"/>
      <c r="E900" s="4"/>
    </row>
    <row r="901">
      <c r="B901" s="4"/>
      <c r="E901" s="4"/>
    </row>
    <row r="902">
      <c r="B902" s="4"/>
      <c r="E902" s="4"/>
    </row>
    <row r="903">
      <c r="B903" s="4"/>
      <c r="E903" s="4"/>
    </row>
    <row r="904">
      <c r="B904" s="4"/>
      <c r="E904" s="4"/>
    </row>
    <row r="905">
      <c r="B905" s="4"/>
      <c r="E905" s="4"/>
    </row>
    <row r="906">
      <c r="B906" s="4"/>
      <c r="E906" s="4"/>
    </row>
    <row r="907">
      <c r="B907" s="4"/>
      <c r="E907" s="4"/>
    </row>
    <row r="908">
      <c r="B908" s="4"/>
      <c r="E908" s="4"/>
    </row>
    <row r="909">
      <c r="B909" s="4"/>
      <c r="E909" s="4"/>
    </row>
    <row r="910">
      <c r="B910" s="4"/>
      <c r="E910" s="4"/>
    </row>
    <row r="911">
      <c r="B911" s="4"/>
      <c r="E911" s="4"/>
    </row>
    <row r="912">
      <c r="B912" s="4"/>
      <c r="E912" s="4"/>
    </row>
    <row r="913">
      <c r="B913" s="4"/>
      <c r="E913" s="4"/>
    </row>
    <row r="914">
      <c r="B914" s="4"/>
      <c r="E914" s="4"/>
    </row>
    <row r="915">
      <c r="B915" s="4"/>
      <c r="E915" s="4"/>
    </row>
    <row r="916">
      <c r="B916" s="4"/>
      <c r="E916" s="4"/>
    </row>
    <row r="917">
      <c r="B917" s="4"/>
      <c r="E917" s="4"/>
    </row>
    <row r="918">
      <c r="B918" s="4"/>
      <c r="E918" s="4"/>
    </row>
    <row r="919">
      <c r="B919" s="4"/>
      <c r="E919" s="4"/>
    </row>
    <row r="920">
      <c r="B920" s="4"/>
      <c r="E920" s="4"/>
    </row>
    <row r="921">
      <c r="B921" s="4"/>
      <c r="E921" s="4"/>
    </row>
    <row r="922">
      <c r="B922" s="4"/>
      <c r="E922" s="4"/>
    </row>
    <row r="923">
      <c r="B923" s="4"/>
      <c r="E923" s="4"/>
    </row>
    <row r="924">
      <c r="B924" s="4"/>
      <c r="E924" s="4"/>
    </row>
    <row r="925">
      <c r="B925" s="4"/>
      <c r="E925" s="4"/>
    </row>
    <row r="926">
      <c r="B926" s="4"/>
      <c r="E926" s="4"/>
    </row>
    <row r="927">
      <c r="B927" s="4"/>
      <c r="E927" s="4"/>
    </row>
    <row r="928">
      <c r="B928" s="4"/>
      <c r="E928" s="4"/>
    </row>
    <row r="929">
      <c r="B929" s="4"/>
      <c r="E929" s="4"/>
    </row>
    <row r="930">
      <c r="B930" s="4"/>
      <c r="E930" s="4"/>
    </row>
    <row r="931">
      <c r="B931" s="4"/>
      <c r="E931" s="4"/>
    </row>
    <row r="932">
      <c r="B932" s="4"/>
      <c r="E932" s="4"/>
    </row>
    <row r="933">
      <c r="B933" s="4"/>
      <c r="E933" s="4"/>
    </row>
    <row r="934">
      <c r="B934" s="4"/>
      <c r="E934" s="4"/>
    </row>
    <row r="935">
      <c r="B935" s="4"/>
      <c r="E935" s="4"/>
    </row>
    <row r="936">
      <c r="B936" s="4"/>
      <c r="E936" s="4"/>
    </row>
    <row r="937">
      <c r="B937" s="4"/>
      <c r="E937" s="4"/>
    </row>
    <row r="938">
      <c r="B938" s="4"/>
      <c r="E938" s="4"/>
    </row>
    <row r="939">
      <c r="B939" s="4"/>
      <c r="E939" s="4"/>
    </row>
    <row r="940">
      <c r="B940" s="4"/>
      <c r="E940" s="4"/>
    </row>
    <row r="941">
      <c r="B941" s="4"/>
      <c r="E941" s="4"/>
    </row>
    <row r="942">
      <c r="B942" s="4"/>
      <c r="E942" s="4"/>
    </row>
    <row r="943">
      <c r="B943" s="4"/>
      <c r="E943" s="4"/>
    </row>
    <row r="944">
      <c r="B944" s="4"/>
      <c r="E944" s="4"/>
    </row>
    <row r="945">
      <c r="B945" s="4"/>
      <c r="E945" s="4"/>
    </row>
    <row r="946">
      <c r="B946" s="4"/>
      <c r="E946" s="4"/>
    </row>
    <row r="947">
      <c r="B947" s="4"/>
      <c r="E947" s="4"/>
    </row>
    <row r="948">
      <c r="B948" s="4"/>
      <c r="E948" s="4"/>
    </row>
    <row r="949">
      <c r="B949" s="4"/>
      <c r="E949" s="4"/>
    </row>
    <row r="950">
      <c r="B950" s="4"/>
      <c r="E950" s="4"/>
    </row>
    <row r="951">
      <c r="B951" s="4"/>
      <c r="E951" s="4"/>
    </row>
    <row r="952">
      <c r="B952" s="4"/>
      <c r="E952" s="4"/>
    </row>
    <row r="953">
      <c r="B953" s="4"/>
      <c r="E953" s="4"/>
    </row>
    <row r="954">
      <c r="B954" s="4"/>
      <c r="E954" s="4"/>
    </row>
    <row r="955">
      <c r="B955" s="4"/>
      <c r="E955" s="4"/>
    </row>
    <row r="956">
      <c r="B956" s="4"/>
      <c r="E956" s="4"/>
    </row>
    <row r="957">
      <c r="B957" s="4"/>
      <c r="E957" s="4"/>
    </row>
    <row r="958">
      <c r="B958" s="4"/>
      <c r="E958" s="4"/>
    </row>
    <row r="959">
      <c r="B959" s="4"/>
      <c r="E959" s="4"/>
    </row>
    <row r="960">
      <c r="B960" s="4"/>
      <c r="E960" s="4"/>
    </row>
    <row r="961">
      <c r="B961" s="4"/>
      <c r="E961" s="4"/>
    </row>
    <row r="962">
      <c r="B962" s="4"/>
      <c r="E962" s="4"/>
    </row>
    <row r="963">
      <c r="B963" s="4"/>
      <c r="E963" s="4"/>
    </row>
    <row r="964">
      <c r="B964" s="4"/>
      <c r="E964" s="4"/>
    </row>
    <row r="965">
      <c r="B965" s="4"/>
      <c r="E965" s="4"/>
    </row>
    <row r="966">
      <c r="B966" s="4"/>
      <c r="E966" s="4"/>
    </row>
    <row r="967">
      <c r="B967" s="4"/>
      <c r="E967" s="4"/>
    </row>
    <row r="968">
      <c r="B968" s="4"/>
      <c r="E968" s="4"/>
    </row>
    <row r="969">
      <c r="B969" s="4"/>
      <c r="E969" s="4"/>
    </row>
    <row r="970">
      <c r="B970" s="4"/>
      <c r="E970" s="4"/>
    </row>
    <row r="971">
      <c r="B971" s="4"/>
      <c r="E971" s="4"/>
    </row>
    <row r="972">
      <c r="B972" s="4"/>
      <c r="E972" s="4"/>
    </row>
    <row r="973">
      <c r="B973" s="4"/>
      <c r="E973" s="4"/>
    </row>
    <row r="974">
      <c r="B974" s="4"/>
      <c r="E974" s="4"/>
    </row>
    <row r="975">
      <c r="B975" s="4"/>
      <c r="E975" s="4"/>
    </row>
    <row r="976">
      <c r="B976" s="4"/>
      <c r="E976" s="4"/>
    </row>
    <row r="977">
      <c r="B977" s="4"/>
      <c r="E977" s="4"/>
    </row>
    <row r="978">
      <c r="B978" s="4"/>
      <c r="E978" s="4"/>
    </row>
    <row r="979">
      <c r="B979" s="4"/>
      <c r="E979" s="4"/>
    </row>
    <row r="980">
      <c r="B980" s="4"/>
      <c r="E980" s="4"/>
    </row>
    <row r="981">
      <c r="B981" s="4"/>
      <c r="E981" s="4"/>
    </row>
    <row r="982">
      <c r="B982" s="4"/>
      <c r="E982" s="4"/>
    </row>
    <row r="983">
      <c r="B983" s="4"/>
      <c r="E983" s="4"/>
    </row>
    <row r="984">
      <c r="B984" s="4"/>
      <c r="E984" s="4"/>
    </row>
    <row r="985">
      <c r="B985" s="4"/>
      <c r="E985" s="4"/>
    </row>
    <row r="986">
      <c r="B986" s="4"/>
      <c r="E986" s="4"/>
    </row>
    <row r="987">
      <c r="B987" s="4"/>
      <c r="E987" s="4"/>
    </row>
    <row r="988">
      <c r="B988" s="4"/>
      <c r="E988" s="4"/>
    </row>
    <row r="989">
      <c r="B989" s="4"/>
      <c r="E989" s="4"/>
    </row>
    <row r="990">
      <c r="B990" s="4"/>
      <c r="E990" s="4"/>
    </row>
    <row r="991">
      <c r="B991" s="4"/>
      <c r="E991" s="4"/>
    </row>
    <row r="992">
      <c r="B992" s="4"/>
      <c r="E992" s="4"/>
    </row>
    <row r="993">
      <c r="B993" s="4"/>
      <c r="E993" s="4"/>
    </row>
    <row r="994">
      <c r="B994" s="4"/>
      <c r="E994" s="4"/>
    </row>
    <row r="995">
      <c r="B995" s="4"/>
      <c r="E995" s="4"/>
    </row>
    <row r="996">
      <c r="B996" s="4"/>
      <c r="E996" s="4"/>
    </row>
    <row r="997">
      <c r="B997" s="4"/>
      <c r="E997" s="4"/>
    </row>
    <row r="998">
      <c r="B998" s="4"/>
      <c r="E998" s="4"/>
    </row>
    <row r="999">
      <c r="B999" s="4"/>
      <c r="E999" s="4"/>
    </row>
    <row r="1000">
      <c r="B1000" s="4"/>
      <c r="E1000" s="4"/>
    </row>
    <row r="1001">
      <c r="B1001" s="4"/>
      <c r="E1001" s="4"/>
    </row>
    <row r="1002">
      <c r="B1002" s="4"/>
      <c r="E1002" s="4"/>
    </row>
    <row r="1003">
      <c r="B1003" s="4"/>
      <c r="E1003" s="4"/>
    </row>
    <row r="1004">
      <c r="B1004" s="4"/>
      <c r="E1004" s="4"/>
    </row>
    <row r="1005">
      <c r="B1005" s="4"/>
      <c r="E1005" s="4"/>
    </row>
    <row r="1006">
      <c r="B1006" s="4"/>
      <c r="E1006" s="4"/>
    </row>
    <row r="1007">
      <c r="B1007" s="4"/>
      <c r="E1007" s="4"/>
    </row>
    <row r="1008">
      <c r="B1008" s="4"/>
      <c r="E1008" s="4"/>
    </row>
    <row r="1009">
      <c r="B1009" s="4"/>
      <c r="E1009" s="4"/>
    </row>
    <row r="1010">
      <c r="B1010" s="4"/>
      <c r="E1010" s="4"/>
    </row>
    <row r="1011">
      <c r="B1011" s="4"/>
      <c r="E1011" s="4"/>
    </row>
    <row r="1012">
      <c r="B1012" s="4"/>
      <c r="E1012" s="4"/>
    </row>
  </sheetData>
  <mergeCells count="1">
    <mergeCell ref="A2:E2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4" width="13.0"/>
    <col customWidth="1" min="5" max="5" width="15.75"/>
    <col customWidth="1" min="6" max="6" width="19.63"/>
  </cols>
  <sheetData>
    <row r="1">
      <c r="A1" s="1" t="s">
        <v>0</v>
      </c>
      <c r="B1" s="3"/>
      <c r="C1" s="3"/>
      <c r="D1" s="3"/>
    </row>
    <row r="2">
      <c r="A2" s="5" t="s">
        <v>1</v>
      </c>
    </row>
    <row r="3">
      <c r="A3" s="5" t="s">
        <v>56</v>
      </c>
    </row>
    <row r="4">
      <c r="A4" s="3"/>
      <c r="B4" s="3"/>
      <c r="C4" s="3"/>
      <c r="D4" s="3" t="s">
        <v>2</v>
      </c>
      <c r="E4" s="6" t="s">
        <v>3</v>
      </c>
    </row>
    <row r="5">
      <c r="A5" s="3"/>
      <c r="B5" s="3"/>
      <c r="C5" s="3"/>
      <c r="D5" s="3" t="s">
        <v>4</v>
      </c>
      <c r="E5" s="2">
        <v>26500.0</v>
      </c>
    </row>
    <row r="6">
      <c r="A6" s="7"/>
      <c r="B6" s="3"/>
      <c r="C6" s="3"/>
      <c r="D6" s="3" t="s">
        <v>5</v>
      </c>
      <c r="E6" s="2">
        <v>19000.0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7"/>
      <c r="B7" s="7"/>
      <c r="C7" s="7"/>
      <c r="D7" s="7"/>
      <c r="E7" s="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31" t="s">
        <v>57</v>
      </c>
      <c r="B8" s="32">
        <v>2026.0</v>
      </c>
      <c r="C8" s="32">
        <v>2027.0</v>
      </c>
      <c r="D8" s="32">
        <v>2028.0</v>
      </c>
      <c r="E8" s="33">
        <v>2029.0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34" t="s">
        <v>58</v>
      </c>
      <c r="B9" s="2"/>
      <c r="C9" s="10"/>
      <c r="D9" s="10"/>
      <c r="E9" s="35"/>
    </row>
    <row r="10">
      <c r="A10" s="36" t="s">
        <v>59</v>
      </c>
      <c r="B10" s="2">
        <v>0.0</v>
      </c>
      <c r="C10" s="2">
        <v>72.0</v>
      </c>
      <c r="D10" s="2">
        <f t="shared" ref="D10:E10" si="1">C10+C10*C11</f>
        <v>86.4</v>
      </c>
      <c r="E10" s="37">
        <f t="shared" si="1"/>
        <v>103.68</v>
      </c>
    </row>
    <row r="11">
      <c r="A11" s="36" t="s">
        <v>60</v>
      </c>
      <c r="B11" s="3">
        <v>0.0</v>
      </c>
      <c r="C11" s="38">
        <v>0.2</v>
      </c>
      <c r="D11" s="38">
        <v>0.2</v>
      </c>
      <c r="E11" s="39">
        <v>0.2</v>
      </c>
    </row>
    <row r="12">
      <c r="A12" s="40" t="s">
        <v>61</v>
      </c>
      <c r="B12" s="2">
        <v>5000.0</v>
      </c>
      <c r="C12" s="2">
        <v>5000.0</v>
      </c>
      <c r="D12" s="2">
        <v>5000.0</v>
      </c>
      <c r="E12" s="37">
        <v>5000.0</v>
      </c>
    </row>
    <row r="13">
      <c r="A13" s="36" t="s">
        <v>33</v>
      </c>
      <c r="B13" s="2">
        <v>1.0</v>
      </c>
      <c r="C13" s="2">
        <v>1.0</v>
      </c>
      <c r="D13" s="2">
        <v>1.0</v>
      </c>
      <c r="E13" s="37">
        <v>1.0</v>
      </c>
    </row>
    <row r="14">
      <c r="A14" s="36" t="s">
        <v>62</v>
      </c>
      <c r="B14" s="2">
        <v>1.0</v>
      </c>
      <c r="C14" s="2">
        <v>1.0</v>
      </c>
      <c r="D14" s="2">
        <v>1.0</v>
      </c>
      <c r="E14" s="37">
        <v>1.0</v>
      </c>
    </row>
    <row r="15">
      <c r="A15" s="36" t="s">
        <v>63</v>
      </c>
      <c r="B15" s="2">
        <v>1.0</v>
      </c>
      <c r="C15" s="2">
        <v>1.0</v>
      </c>
      <c r="D15" s="2">
        <v>1.0</v>
      </c>
      <c r="E15" s="37">
        <v>1.0</v>
      </c>
    </row>
    <row r="16">
      <c r="A16" s="36" t="s">
        <v>64</v>
      </c>
      <c r="B16" s="2">
        <v>0.0</v>
      </c>
      <c r="C16" s="2">
        <v>0.0</v>
      </c>
      <c r="D16" s="2">
        <v>1.0</v>
      </c>
      <c r="E16" s="37">
        <v>1.0</v>
      </c>
    </row>
    <row r="17">
      <c r="A17" s="40" t="s">
        <v>65</v>
      </c>
      <c r="B17" s="38">
        <v>0.0</v>
      </c>
      <c r="C17" s="38">
        <v>0.0</v>
      </c>
      <c r="D17" s="38">
        <v>0.1</v>
      </c>
      <c r="E17" s="39">
        <v>0.1</v>
      </c>
    </row>
    <row r="18">
      <c r="A18" s="36" t="s">
        <v>24</v>
      </c>
      <c r="B18" s="2">
        <v>2500.0</v>
      </c>
      <c r="C18" s="2">
        <v>2500.0</v>
      </c>
      <c r="D18" s="2">
        <v>2500.0</v>
      </c>
      <c r="E18" s="37">
        <v>2500.0</v>
      </c>
    </row>
    <row r="19">
      <c r="A19" s="34"/>
      <c r="B19" s="10"/>
      <c r="C19" s="10"/>
      <c r="D19" s="10"/>
      <c r="E19" s="35"/>
    </row>
    <row r="20">
      <c r="A20" s="34" t="s">
        <v>66</v>
      </c>
      <c r="B20" s="10"/>
      <c r="C20" s="10"/>
      <c r="D20" s="10"/>
      <c r="E20" s="35"/>
    </row>
    <row r="21">
      <c r="A21" s="36" t="s">
        <v>67</v>
      </c>
      <c r="B21" s="10">
        <f>'P&amp;L 2026'!D21</f>
        <v>0</v>
      </c>
      <c r="C21" s="10">
        <f>' P&amp;L 2027'!D21</f>
        <v>288000</v>
      </c>
      <c r="D21" s="10">
        <f>'P&amp;L 2028'!D21</f>
        <v>345600</v>
      </c>
      <c r="E21" s="35">
        <f>'P&amp;L 2029'!D21</f>
        <v>414720</v>
      </c>
    </row>
    <row r="22">
      <c r="A22" s="36" t="s">
        <v>68</v>
      </c>
      <c r="B22" s="10">
        <f>'P&amp;L 2026'!D22</f>
        <v>0</v>
      </c>
      <c r="C22" s="10">
        <f>' P&amp;L 2027'!D22</f>
        <v>258113.2075</v>
      </c>
      <c r="D22" s="10">
        <f>'P&amp;L 2028'!D22</f>
        <v>309735.8491</v>
      </c>
      <c r="E22" s="35">
        <f>'P&amp;L 2029'!D22</f>
        <v>371683.0189</v>
      </c>
    </row>
    <row r="23">
      <c r="A23" s="36" t="s">
        <v>15</v>
      </c>
      <c r="B23" s="10">
        <f>'P&amp;L 2026'!D23</f>
        <v>0</v>
      </c>
      <c r="C23" s="10">
        <f>' P&amp;L 2027'!D23</f>
        <v>144000</v>
      </c>
      <c r="D23" s="10">
        <f>'P&amp;L 2028'!D23</f>
        <v>172800</v>
      </c>
      <c r="E23" s="35">
        <f>'P&amp;L 2029'!D23</f>
        <v>207360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36" t="s">
        <v>69</v>
      </c>
      <c r="B24" s="10">
        <f>'P&amp;L 2026'!D24</f>
        <v>0</v>
      </c>
      <c r="C24" s="10">
        <f>' P&amp;L 2027'!D24</f>
        <v>50400</v>
      </c>
      <c r="D24" s="10">
        <f>'P&amp;L 2028'!D24</f>
        <v>60480</v>
      </c>
      <c r="E24" s="35">
        <f>'P&amp;L 2029'!D24</f>
        <v>72576</v>
      </c>
      <c r="F24" s="12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34" t="s">
        <v>20</v>
      </c>
      <c r="B25" s="19">
        <f>'P&amp;L 2026'!D25</f>
        <v>0</v>
      </c>
      <c r="C25" s="19">
        <f>' P&amp;L 2027'!D25</f>
        <v>740513.2075</v>
      </c>
      <c r="D25" s="19">
        <f>'P&amp;L 2028'!D25</f>
        <v>888615.8491</v>
      </c>
      <c r="E25" s="41">
        <f>'P&amp;L 2029'!D25</f>
        <v>1066339.019</v>
      </c>
      <c r="F25" s="16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42"/>
      <c r="B26" s="10" t="str">
        <f>'P&amp;L 2026'!D26</f>
        <v/>
      </c>
      <c r="C26" s="10" t="str">
        <f>' P&amp;L 2027'!D26</f>
        <v/>
      </c>
      <c r="D26" s="10" t="str">
        <f>'P&amp;L 2028'!D26</f>
        <v/>
      </c>
      <c r="E26" s="35" t="str">
        <f>'P&amp;L 2029'!D26</f>
        <v/>
      </c>
    </row>
    <row r="27">
      <c r="A27" s="34" t="s">
        <v>22</v>
      </c>
      <c r="B27" s="10" t="str">
        <f>'P&amp;L 2026'!D27</f>
        <v/>
      </c>
      <c r="C27" s="10" t="str">
        <f>' P&amp;L 2027'!D27</f>
        <v/>
      </c>
      <c r="D27" s="10" t="str">
        <f>'P&amp;L 2028'!D27</f>
        <v/>
      </c>
      <c r="E27" s="35" t="str">
        <f>'P&amp;L 2029'!D27</f>
        <v/>
      </c>
      <c r="F27" s="22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43" t="s">
        <v>17</v>
      </c>
      <c r="B28" s="10">
        <f>'P&amp;L 2026'!D28</f>
        <v>0</v>
      </c>
      <c r="C28" s="10">
        <f>' P&amp;L 2027'!D28</f>
        <v>25811.32075</v>
      </c>
      <c r="D28" s="10">
        <f>'P&amp;L 2028'!D28</f>
        <v>30973.58491</v>
      </c>
      <c r="E28" s="35">
        <f>'P&amp;L 2029'!D28</f>
        <v>37168.30189</v>
      </c>
      <c r="F28" s="12"/>
      <c r="G28" s="12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36" t="s">
        <v>23</v>
      </c>
      <c r="B29" s="10">
        <f>'P&amp;L 2026'!D29</f>
        <v>0</v>
      </c>
      <c r="C29" s="10">
        <f>' P&amp;L 2027'!D29</f>
        <v>158943.3962</v>
      </c>
      <c r="D29" s="10">
        <f>'P&amp;L 2028'!D29</f>
        <v>190732.0755</v>
      </c>
      <c r="E29" s="35">
        <f>'P&amp;L 2029'!D29</f>
        <v>228878.4906</v>
      </c>
      <c r="F29" s="25"/>
    </row>
    <row r="30">
      <c r="A30" s="36" t="s">
        <v>25</v>
      </c>
      <c r="B30" s="10">
        <f>'P&amp;L 2026'!D30</f>
        <v>0</v>
      </c>
      <c r="C30" s="10">
        <f>' P&amp;L 2027'!D30</f>
        <v>0</v>
      </c>
      <c r="D30" s="10">
        <f>'P&amp;L 2028'!D30</f>
        <v>0</v>
      </c>
      <c r="E30" s="35">
        <f>'P&amp;L 2029'!D30</f>
        <v>0</v>
      </c>
      <c r="F30" s="27"/>
    </row>
    <row r="31">
      <c r="A31" s="40" t="s">
        <v>26</v>
      </c>
      <c r="B31" s="10">
        <f>'P&amp;L 2026'!D31</f>
        <v>0</v>
      </c>
      <c r="C31" s="10">
        <f>' P&amp;L 2027'!D31</f>
        <v>36000</v>
      </c>
      <c r="D31" s="10">
        <f>'P&amp;L 2028'!D31</f>
        <v>43200</v>
      </c>
      <c r="E31" s="35">
        <f>'P&amp;L 2029'!D31</f>
        <v>51840</v>
      </c>
      <c r="F31" s="27"/>
    </row>
    <row r="32">
      <c r="A32" s="36" t="s">
        <v>27</v>
      </c>
      <c r="B32" s="10">
        <f>'P&amp;L 2026'!D32</f>
        <v>0</v>
      </c>
      <c r="C32" s="10">
        <f>' P&amp;L 2027'!D32</f>
        <v>0</v>
      </c>
      <c r="D32" s="10">
        <f>'P&amp;L 2028'!D32</f>
        <v>0</v>
      </c>
      <c r="E32" s="35">
        <f>'P&amp;L 2029'!D32</f>
        <v>0</v>
      </c>
      <c r="F32" s="27"/>
    </row>
    <row r="33">
      <c r="A33" s="36" t="s">
        <v>28</v>
      </c>
      <c r="B33" s="10">
        <f>'P&amp;L 2026'!D33</f>
        <v>0</v>
      </c>
      <c r="C33" s="10">
        <f>' P&amp;L 2027'!D33</f>
        <v>0</v>
      </c>
      <c r="D33" s="10">
        <f>'P&amp;L 2028'!D33</f>
        <v>0</v>
      </c>
      <c r="E33" s="35">
        <f>'P&amp;L 2029'!D33</f>
        <v>0</v>
      </c>
      <c r="F33" s="28"/>
    </row>
    <row r="34">
      <c r="A34" s="43" t="s">
        <v>70</v>
      </c>
      <c r="B34" s="10">
        <f>'P&amp;L 2026'!D34</f>
        <v>0</v>
      </c>
      <c r="C34" s="10">
        <f>' P&amp;L 2027'!D34</f>
        <v>5760</v>
      </c>
      <c r="D34" s="10">
        <f>'P&amp;L 2028'!D34</f>
        <v>6912</v>
      </c>
      <c r="E34" s="35">
        <f>'P&amp;L 2029'!D34</f>
        <v>8294.4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>
      <c r="A35" s="36" t="s">
        <v>29</v>
      </c>
      <c r="B35" s="10">
        <f>'P&amp;L 2026'!D35</f>
        <v>0</v>
      </c>
      <c r="C35" s="10">
        <f>' P&amp;L 2027'!D35</f>
        <v>0</v>
      </c>
      <c r="D35" s="10">
        <f>'P&amp;L 2028'!D35</f>
        <v>0</v>
      </c>
      <c r="E35" s="35">
        <f>'P&amp;L 2029'!D35</f>
        <v>0</v>
      </c>
      <c r="F35" s="28" t="s">
        <v>71</v>
      </c>
    </row>
    <row r="36">
      <c r="A36" s="34" t="s">
        <v>30</v>
      </c>
      <c r="B36" s="10">
        <f>'P&amp;L 2026'!D36</f>
        <v>0</v>
      </c>
      <c r="C36" s="10">
        <f>' P&amp;L 2027'!D36</f>
        <v>226514.717</v>
      </c>
      <c r="D36" s="10">
        <f>'P&amp;L 2028'!D36</f>
        <v>271817.6604</v>
      </c>
      <c r="E36" s="35">
        <f>'P&amp;L 2029'!D36</f>
        <v>326181.1925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34" t="s">
        <v>31</v>
      </c>
      <c r="B37" s="10">
        <f>'P&amp;L 2026'!D37</f>
        <v>0</v>
      </c>
      <c r="C37" s="10">
        <f>' P&amp;L 2027'!D37</f>
        <v>513998.4906</v>
      </c>
      <c r="D37" s="10">
        <f>'P&amp;L 2028'!D37</f>
        <v>616798.1887</v>
      </c>
      <c r="E37" s="35">
        <f>'P&amp;L 2029'!D37</f>
        <v>740157.8264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42"/>
      <c r="B38" s="10" t="str">
        <f>'P&amp;L 2026'!D38</f>
        <v/>
      </c>
      <c r="C38" s="10" t="str">
        <f>' P&amp;L 2027'!D38</f>
        <v/>
      </c>
      <c r="D38" s="10" t="str">
        <f>'P&amp;L 2028'!D38</f>
        <v/>
      </c>
      <c r="E38" s="35" t="str">
        <f>'P&amp;L 2029'!D38</f>
        <v/>
      </c>
    </row>
    <row r="39">
      <c r="A39" s="34" t="s">
        <v>32</v>
      </c>
      <c r="B39" s="10" t="str">
        <f>'P&amp;L 2026'!D39</f>
        <v/>
      </c>
      <c r="C39" s="10" t="str">
        <f>' P&amp;L 2027'!D39</f>
        <v/>
      </c>
      <c r="D39" s="10" t="str">
        <f>'P&amp;L 2028'!D39</f>
        <v/>
      </c>
      <c r="E39" s="35" t="str">
        <f>'P&amp;L 2029'!D39</f>
        <v/>
      </c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36" t="s">
        <v>33</v>
      </c>
      <c r="B40" s="10">
        <f>'P&amp;L 2026'!D40</f>
        <v>80000</v>
      </c>
      <c r="C40" s="10">
        <f>' P&amp;L 2027'!D40</f>
        <v>120000</v>
      </c>
      <c r="D40" s="10">
        <f>'P&amp;L 2028'!D40</f>
        <v>120000</v>
      </c>
      <c r="E40" s="35">
        <f>'P&amp;L 2029'!D40</f>
        <v>120000</v>
      </c>
    </row>
    <row r="41" ht="18.0" customHeight="1">
      <c r="A41" s="36" t="s">
        <v>35</v>
      </c>
      <c r="B41" s="10">
        <f>'P&amp;L 2026'!D41</f>
        <v>10566.03774</v>
      </c>
      <c r="C41" s="10">
        <f>' P&amp;L 2027'!D41</f>
        <v>17169.81132</v>
      </c>
      <c r="D41" s="10">
        <f>'P&amp;L 2028'!D41</f>
        <v>18886.79245</v>
      </c>
      <c r="E41" s="35">
        <f>'P&amp;L 2029'!D41</f>
        <v>20775.4717</v>
      </c>
    </row>
    <row r="42">
      <c r="A42" s="36" t="s">
        <v>36</v>
      </c>
      <c r="B42" s="10">
        <f>'P&amp;L 2026'!D42</f>
        <v>0</v>
      </c>
      <c r="C42" s="10">
        <f>' P&amp;L 2027'!D42</f>
        <v>0</v>
      </c>
      <c r="D42" s="10">
        <f>'P&amp;L 2028'!D42</f>
        <v>0</v>
      </c>
      <c r="E42" s="35">
        <f>'P&amp;L 2029'!D42</f>
        <v>0</v>
      </c>
    </row>
    <row r="43">
      <c r="A43" s="36" t="s">
        <v>37</v>
      </c>
      <c r="B43" s="10">
        <f>'P&amp;L 2026'!D43</f>
        <v>8000</v>
      </c>
      <c r="C43" s="10">
        <f>' P&amp;L 2027'!D43</f>
        <v>12000</v>
      </c>
      <c r="D43" s="10">
        <f>'P&amp;L 2028'!D43</f>
        <v>12000</v>
      </c>
      <c r="E43" s="35">
        <f>'P&amp;L 2029'!D43</f>
        <v>12000</v>
      </c>
    </row>
    <row r="44">
      <c r="A44" s="36" t="s">
        <v>38</v>
      </c>
      <c r="B44" s="10">
        <f>'P&amp;L 2026'!D44</f>
        <v>1509.433962</v>
      </c>
      <c r="C44" s="10">
        <f>' P&amp;L 2027'!D44</f>
        <v>4528.301887</v>
      </c>
      <c r="D44" s="10">
        <f>'P&amp;L 2028'!D44</f>
        <v>4528.301887</v>
      </c>
      <c r="E44" s="35">
        <f>'P&amp;L 2029'!D44</f>
        <v>4528.301887</v>
      </c>
    </row>
    <row r="45">
      <c r="A45" s="36" t="s">
        <v>64</v>
      </c>
      <c r="B45" s="10">
        <f>'P&amp;L 2026'!D45</f>
        <v>0</v>
      </c>
      <c r="C45" s="10">
        <f>' P&amp;L 2027'!D45</f>
        <v>0</v>
      </c>
      <c r="D45" s="10">
        <f>'P&amp;L 2028'!D45</f>
        <v>4905.660377</v>
      </c>
      <c r="E45" s="35">
        <f>'P&amp;L 2029'!D45</f>
        <v>5396.226415</v>
      </c>
    </row>
    <row r="46">
      <c r="A46" s="36" t="s">
        <v>42</v>
      </c>
      <c r="B46" s="10">
        <f>'P&amp;L 2026'!D46</f>
        <v>12075.4717</v>
      </c>
      <c r="C46" s="10">
        <f>' P&amp;L 2027'!D46</f>
        <v>19622.64151</v>
      </c>
      <c r="D46" s="10">
        <f>'P&amp;L 2028'!D46</f>
        <v>21584.90566</v>
      </c>
      <c r="E46" s="35">
        <f>'P&amp;L 2029'!D46</f>
        <v>23743.39623</v>
      </c>
    </row>
    <row r="47">
      <c r="A47" s="36" t="s">
        <v>72</v>
      </c>
      <c r="B47" s="10">
        <f>'P&amp;L 2026'!D47</f>
        <v>8000</v>
      </c>
      <c r="C47" s="10">
        <f>' P&amp;L 2027'!D47</f>
        <v>12000</v>
      </c>
      <c r="D47" s="10">
        <f>'P&amp;L 2028'!D47</f>
        <v>12000</v>
      </c>
      <c r="E47" s="35">
        <f>'P&amp;L 2029'!D47</f>
        <v>12000</v>
      </c>
    </row>
    <row r="48">
      <c r="A48" s="43" t="s">
        <v>73</v>
      </c>
      <c r="B48" s="14">
        <f>'P&amp;L 2026'!D48</f>
        <v>4000</v>
      </c>
      <c r="C48" s="14">
        <f>' P&amp;L 2027'!D48</f>
        <v>6000</v>
      </c>
      <c r="D48" s="14">
        <f>'P&amp;L 2028'!D48</f>
        <v>6000</v>
      </c>
      <c r="E48" s="44">
        <f>'P&amp;L 2029'!D48</f>
        <v>6000</v>
      </c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34" t="s">
        <v>47</v>
      </c>
      <c r="B49" s="10">
        <f>'P&amp;L 2026'!D49</f>
        <v>124150.9434</v>
      </c>
      <c r="C49" s="10">
        <f>' P&amp;L 2027'!D49</f>
        <v>191320.7547</v>
      </c>
      <c r="D49" s="10">
        <f>'P&amp;L 2028'!D49</f>
        <v>199905.6604</v>
      </c>
      <c r="E49" s="35">
        <f>'P&amp;L 2029'!D49</f>
        <v>204443.3962</v>
      </c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42"/>
      <c r="B50" s="10" t="str">
        <f>'P&amp;L 2026'!D50</f>
        <v/>
      </c>
      <c r="C50" s="10" t="str">
        <f>' P&amp;L 2027'!D50</f>
        <v/>
      </c>
      <c r="D50" s="10" t="str">
        <f>'P&amp;L 2028'!D50</f>
        <v/>
      </c>
      <c r="E50" s="35" t="str">
        <f>'P&amp;L 2029'!D50</f>
        <v/>
      </c>
    </row>
    <row r="51">
      <c r="A51" s="34" t="s">
        <v>48</v>
      </c>
      <c r="B51" s="10">
        <f>'P&amp;L 2026'!D51</f>
        <v>-124150.9434</v>
      </c>
      <c r="C51" s="10">
        <f>' P&amp;L 2027'!D51</f>
        <v>322677.7358</v>
      </c>
      <c r="D51" s="10">
        <f>'P&amp;L 2028'!D51</f>
        <v>416892.5283</v>
      </c>
      <c r="E51" s="35">
        <f>'P&amp;L 2029'!D51</f>
        <v>535714.4302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36" t="s">
        <v>49</v>
      </c>
      <c r="B52" s="10">
        <f>'P&amp;L 2026'!D52</f>
        <v>0</v>
      </c>
      <c r="C52" s="10">
        <f>' P&amp;L 2027'!D52</f>
        <v>0</v>
      </c>
      <c r="D52" s="10">
        <f>'P&amp;L 2028'!D52</f>
        <v>0</v>
      </c>
      <c r="E52" s="35">
        <f>'P&amp;L 2029'!D52</f>
        <v>0</v>
      </c>
    </row>
    <row r="53">
      <c r="A53" s="34" t="s">
        <v>50</v>
      </c>
      <c r="B53" s="19">
        <f>'P&amp;L 2026'!D53</f>
        <v>-124150.9434</v>
      </c>
      <c r="C53" s="19">
        <f>' P&amp;L 2027'!D53</f>
        <v>322677.7358</v>
      </c>
      <c r="D53" s="19">
        <f>'P&amp;L 2028'!D53</f>
        <v>416892.5283</v>
      </c>
      <c r="E53" s="41">
        <f>'P&amp;L 2029'!D53</f>
        <v>535714.4302</v>
      </c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36" t="s">
        <v>74</v>
      </c>
      <c r="B54" s="10">
        <f>'P&amp;L 2026'!D54</f>
        <v>0</v>
      </c>
      <c r="C54" s="10">
        <f>' P&amp;L 2027'!D54</f>
        <v>-124150.9434</v>
      </c>
      <c r="D54" s="10">
        <f>'P&amp;L 2028'!D54</f>
        <v>158821.434</v>
      </c>
      <c r="E54" s="35">
        <f>'P&amp;L 2029'!D54</f>
        <v>492335.4566</v>
      </c>
    </row>
    <row r="55">
      <c r="A55" s="43" t="s">
        <v>51</v>
      </c>
      <c r="B55" s="14">
        <f>'P&amp;L 2026'!D55</f>
        <v>0</v>
      </c>
      <c r="C55" s="14">
        <f>' P&amp;L 2027'!D55</f>
        <v>39705.35849</v>
      </c>
      <c r="D55" s="14">
        <f>'P&amp;L 2028'!D55</f>
        <v>83378.50566</v>
      </c>
      <c r="E55" s="44">
        <f>'P&amp;L 2029'!D55</f>
        <v>107142.886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45" t="s">
        <v>52</v>
      </c>
      <c r="B56" s="19">
        <f>'P&amp;L 2026'!D56</f>
        <v>-124150.9434</v>
      </c>
      <c r="C56" s="19">
        <f>' P&amp;L 2027'!D56</f>
        <v>282972.3774</v>
      </c>
      <c r="D56" s="19">
        <f>'P&amp;L 2028'!D56</f>
        <v>333514.0226</v>
      </c>
      <c r="E56" s="41">
        <f>'P&amp;L 2029'!D56</f>
        <v>428571.5442</v>
      </c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46" t="s">
        <v>75</v>
      </c>
      <c r="B57" s="47">
        <f>'P&amp;L 2026'!D57</f>
        <v>-124150.9434</v>
      </c>
      <c r="C57" s="47">
        <f>' P&amp;L 2027'!D57</f>
        <v>158821.434</v>
      </c>
      <c r="D57" s="47">
        <f>'P&amp;L 2028'!D57</f>
        <v>492335.4566</v>
      </c>
      <c r="E57" s="48">
        <f>'P&amp;L 2029'!D57</f>
        <v>920907.0008</v>
      </c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60">
      <c r="A60" s="49" t="s">
        <v>57</v>
      </c>
      <c r="B60" s="50" t="s">
        <v>76</v>
      </c>
      <c r="C60" s="50" t="s">
        <v>77</v>
      </c>
      <c r="D60" s="50" t="s">
        <v>78</v>
      </c>
      <c r="E60" s="50" t="s">
        <v>79</v>
      </c>
    </row>
    <row r="61">
      <c r="A61" s="51" t="s">
        <v>20</v>
      </c>
      <c r="B61" s="52" t="s">
        <v>80</v>
      </c>
      <c r="C61" s="52">
        <v>740513.21</v>
      </c>
      <c r="D61" s="52">
        <v>888615.85</v>
      </c>
      <c r="E61" s="52">
        <v>1066339.02</v>
      </c>
    </row>
    <row r="62">
      <c r="A62" s="51" t="s">
        <v>30</v>
      </c>
      <c r="B62" s="52" t="s">
        <v>80</v>
      </c>
      <c r="C62" s="52">
        <v>226514.72</v>
      </c>
      <c r="D62" s="52">
        <v>271817.66</v>
      </c>
      <c r="E62" s="52">
        <v>326181.19</v>
      </c>
    </row>
    <row r="63">
      <c r="A63" s="51" t="s">
        <v>31</v>
      </c>
      <c r="B63" s="52" t="s">
        <v>80</v>
      </c>
      <c r="C63" s="52">
        <v>513998.49</v>
      </c>
      <c r="D63" s="52">
        <v>616798.19</v>
      </c>
      <c r="E63" s="52">
        <v>740157.83</v>
      </c>
    </row>
    <row r="64">
      <c r="A64" s="51" t="s">
        <v>47</v>
      </c>
      <c r="B64" s="52">
        <v>124150.94</v>
      </c>
      <c r="C64" s="52">
        <v>191320.75</v>
      </c>
      <c r="D64" s="52">
        <v>199905.66</v>
      </c>
      <c r="E64" s="52">
        <v>204443.4</v>
      </c>
    </row>
    <row r="65">
      <c r="A65" s="51" t="s">
        <v>48</v>
      </c>
      <c r="B65" s="52">
        <v>-124150.94</v>
      </c>
      <c r="C65" s="52">
        <v>322677.74</v>
      </c>
      <c r="D65" s="52">
        <v>416892.53</v>
      </c>
      <c r="E65" s="52">
        <v>535714.43</v>
      </c>
    </row>
    <row r="66">
      <c r="A66" s="51" t="s">
        <v>49</v>
      </c>
      <c r="B66" s="52" t="s">
        <v>80</v>
      </c>
      <c r="C66" s="52" t="s">
        <v>80</v>
      </c>
      <c r="D66" s="52" t="s">
        <v>80</v>
      </c>
      <c r="E66" s="52" t="s">
        <v>80</v>
      </c>
    </row>
    <row r="67">
      <c r="A67" s="51" t="s">
        <v>50</v>
      </c>
      <c r="B67" s="52">
        <v>-124150.94</v>
      </c>
      <c r="C67" s="52">
        <v>322677.74</v>
      </c>
      <c r="D67" s="52">
        <v>416892.53</v>
      </c>
      <c r="E67" s="52">
        <v>535714.43</v>
      </c>
    </row>
    <row r="68">
      <c r="A68" s="51" t="s">
        <v>74</v>
      </c>
      <c r="B68" s="52" t="s">
        <v>80</v>
      </c>
      <c r="C68" s="52">
        <v>-124150.94</v>
      </c>
      <c r="D68" s="52">
        <v>158821.43</v>
      </c>
      <c r="E68" s="52">
        <v>492335.46</v>
      </c>
    </row>
    <row r="69">
      <c r="A69" s="51" t="s">
        <v>51</v>
      </c>
      <c r="B69" s="52" t="s">
        <v>80</v>
      </c>
      <c r="C69" s="52">
        <v>39705.36</v>
      </c>
      <c r="D69" s="52">
        <v>83378.51</v>
      </c>
      <c r="E69" s="52">
        <v>107142.89</v>
      </c>
    </row>
    <row r="70">
      <c r="A70" s="51" t="s">
        <v>52</v>
      </c>
      <c r="B70" s="52">
        <v>-124150.94</v>
      </c>
      <c r="C70" s="52">
        <v>282972.38</v>
      </c>
      <c r="D70" s="52">
        <v>333514.02</v>
      </c>
      <c r="E70" s="52">
        <v>428571.54</v>
      </c>
    </row>
    <row r="71">
      <c r="A71" s="53" t="s">
        <v>75</v>
      </c>
      <c r="B71" s="54">
        <v>-124150.94</v>
      </c>
      <c r="C71" s="54">
        <v>158821.43</v>
      </c>
      <c r="D71" s="54">
        <v>492335.46</v>
      </c>
      <c r="E71" s="54">
        <v>920907.0</v>
      </c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</sheetData>
  <mergeCells count="2">
    <mergeCell ref="A2:E2"/>
    <mergeCell ref="A3:E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10.5"/>
    <col customWidth="1" min="3" max="3" width="13.0"/>
    <col customWidth="1" min="4" max="4" width="15.75"/>
    <col customWidth="1" min="5" max="5" width="19.63"/>
  </cols>
  <sheetData>
    <row r="1">
      <c r="A1" s="1" t="s">
        <v>0</v>
      </c>
      <c r="B1" s="2"/>
      <c r="C1" s="3"/>
      <c r="D1" s="3"/>
    </row>
    <row r="2">
      <c r="A2" s="5" t="s">
        <v>1</v>
      </c>
    </row>
    <row r="3">
      <c r="A3" s="5" t="s">
        <v>81</v>
      </c>
    </row>
    <row r="4">
      <c r="A4" s="3"/>
      <c r="B4" s="2"/>
      <c r="C4" s="3" t="s">
        <v>2</v>
      </c>
      <c r="D4" s="6" t="s">
        <v>3</v>
      </c>
    </row>
    <row r="5">
      <c r="A5" s="3"/>
      <c r="B5" s="2"/>
      <c r="C5" s="3" t="s">
        <v>4</v>
      </c>
      <c r="D5" s="2">
        <v>26500.0</v>
      </c>
    </row>
    <row r="6">
      <c r="A6" s="7"/>
      <c r="B6" s="8"/>
      <c r="C6" s="3" t="s">
        <v>5</v>
      </c>
      <c r="D6" s="2">
        <v>19000.0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7"/>
      <c r="B7" s="8"/>
      <c r="C7" s="7"/>
      <c r="D7" s="7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31" t="s">
        <v>6</v>
      </c>
      <c r="B8" s="32" t="s">
        <v>82</v>
      </c>
      <c r="C8" s="32" t="s">
        <v>8</v>
      </c>
      <c r="D8" s="33" t="s">
        <v>9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34" t="s">
        <v>58</v>
      </c>
      <c r="B9" s="2"/>
      <c r="C9" s="10"/>
      <c r="D9" s="35"/>
    </row>
    <row r="10">
      <c r="A10" s="36" t="s">
        <v>83</v>
      </c>
      <c r="B10" s="2">
        <v>0.0</v>
      </c>
      <c r="C10" s="10"/>
      <c r="D10" s="35"/>
    </row>
    <row r="11">
      <c r="A11" s="36" t="s">
        <v>60</v>
      </c>
      <c r="B11" s="38">
        <v>0.2</v>
      </c>
      <c r="C11" s="10"/>
      <c r="D11" s="35"/>
    </row>
    <row r="12">
      <c r="A12" s="40" t="s">
        <v>61</v>
      </c>
      <c r="B12" s="2">
        <v>5000.0</v>
      </c>
      <c r="C12" s="10"/>
      <c r="D12" s="35"/>
    </row>
    <row r="13">
      <c r="A13" s="36" t="s">
        <v>33</v>
      </c>
      <c r="B13" s="2">
        <v>1.0</v>
      </c>
      <c r="C13" s="10"/>
      <c r="D13" s="35"/>
    </row>
    <row r="14">
      <c r="A14" s="36" t="s">
        <v>62</v>
      </c>
      <c r="B14" s="2">
        <v>1.0</v>
      </c>
      <c r="C14" s="10"/>
      <c r="D14" s="35"/>
    </row>
    <row r="15">
      <c r="A15" s="36" t="s">
        <v>63</v>
      </c>
      <c r="B15" s="2">
        <v>1.0</v>
      </c>
      <c r="C15" s="10"/>
      <c r="D15" s="35"/>
    </row>
    <row r="16">
      <c r="A16" s="36" t="s">
        <v>64</v>
      </c>
      <c r="B16" s="2">
        <v>0.0</v>
      </c>
      <c r="C16" s="10"/>
      <c r="D16" s="35"/>
    </row>
    <row r="17">
      <c r="A17" s="40" t="s">
        <v>65</v>
      </c>
      <c r="B17" s="38">
        <v>0.1</v>
      </c>
      <c r="C17" s="10"/>
      <c r="D17" s="35"/>
    </row>
    <row r="18">
      <c r="A18" s="36" t="s">
        <v>24</v>
      </c>
      <c r="B18" s="2">
        <v>2500.0</v>
      </c>
      <c r="D18" s="55"/>
    </row>
    <row r="19">
      <c r="A19" s="42"/>
      <c r="D19" s="55"/>
    </row>
    <row r="20">
      <c r="A20" s="34" t="s">
        <v>66</v>
      </c>
      <c r="B20" s="2"/>
      <c r="C20" s="10"/>
      <c r="D20" s="35"/>
    </row>
    <row r="21">
      <c r="A21" s="36" t="s">
        <v>67</v>
      </c>
      <c r="B21" s="2">
        <v>0.0</v>
      </c>
      <c r="C21" s="10">
        <v>4000.0</v>
      </c>
      <c r="D21" s="35">
        <f t="shared" ref="D21:D24" si="1">B21*C21</f>
        <v>0</v>
      </c>
    </row>
    <row r="22">
      <c r="A22" s="36" t="s">
        <v>68</v>
      </c>
      <c r="B22" s="2">
        <v>0.0</v>
      </c>
      <c r="C22" s="10">
        <f>(B12*D6)/D5</f>
        <v>3584.90566</v>
      </c>
      <c r="D22" s="35">
        <f t="shared" si="1"/>
        <v>0</v>
      </c>
    </row>
    <row r="23">
      <c r="A23" s="36" t="s">
        <v>15</v>
      </c>
      <c r="B23" s="2">
        <v>0.0</v>
      </c>
      <c r="C23" s="10">
        <f>2000</f>
        <v>2000</v>
      </c>
      <c r="D23" s="35">
        <f t="shared" si="1"/>
        <v>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36" t="s">
        <v>69</v>
      </c>
      <c r="B24" s="2">
        <v>0.0</v>
      </c>
      <c r="C24" s="10">
        <f>700</f>
        <v>700</v>
      </c>
      <c r="D24" s="35">
        <f t="shared" si="1"/>
        <v>0</v>
      </c>
      <c r="E24" s="12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34" t="s">
        <v>20</v>
      </c>
      <c r="B25" s="17"/>
      <c r="C25" s="18"/>
      <c r="D25" s="41">
        <f>SUM(D21:D24)</f>
        <v>0</v>
      </c>
      <c r="E25" s="16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>
      <c r="A26" s="42"/>
      <c r="B26" s="4"/>
      <c r="D26" s="55"/>
    </row>
    <row r="27">
      <c r="A27" s="34" t="s">
        <v>22</v>
      </c>
      <c r="B27" s="21"/>
      <c r="C27" s="22"/>
      <c r="D27" s="56"/>
      <c r="E27" s="22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>
      <c r="A28" s="43" t="s">
        <v>17</v>
      </c>
      <c r="B28" s="13">
        <v>0.0</v>
      </c>
      <c r="C28" s="14">
        <f>C22*10%</f>
        <v>358.490566</v>
      </c>
      <c r="D28" s="44">
        <f t="shared" ref="D28:D29" si="2">B28*C28</f>
        <v>0</v>
      </c>
      <c r="E28" s="12"/>
      <c r="F28" s="12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36" t="s">
        <v>23</v>
      </c>
      <c r="B29" s="2">
        <v>0.0</v>
      </c>
      <c r="C29" s="23">
        <f>(C21-(B18*D6)/D5)</f>
        <v>2207.54717</v>
      </c>
      <c r="D29" s="57">
        <f t="shared" si="2"/>
        <v>0</v>
      </c>
      <c r="E29" s="25"/>
    </row>
    <row r="30">
      <c r="A30" s="36" t="s">
        <v>25</v>
      </c>
      <c r="B30" s="26">
        <v>0.0</v>
      </c>
      <c r="C30" s="23">
        <v>0.0</v>
      </c>
      <c r="D30" s="57">
        <v>0.0</v>
      </c>
      <c r="E30" s="27"/>
    </row>
    <row r="31">
      <c r="A31" s="40" t="s">
        <v>26</v>
      </c>
      <c r="B31" s="2">
        <v>0.0</v>
      </c>
      <c r="C31" s="23">
        <v>500.0</v>
      </c>
      <c r="D31" s="57">
        <f>B31*C31</f>
        <v>0</v>
      </c>
      <c r="E31" s="27"/>
    </row>
    <row r="32">
      <c r="A32" s="36" t="s">
        <v>27</v>
      </c>
      <c r="B32" s="26">
        <v>0.0</v>
      </c>
      <c r="C32" s="23">
        <v>0.0</v>
      </c>
      <c r="D32" s="57">
        <v>0.0</v>
      </c>
      <c r="E32" s="27"/>
    </row>
    <row r="33">
      <c r="A33" s="36" t="s">
        <v>28</v>
      </c>
      <c r="B33" s="26">
        <v>0.0</v>
      </c>
      <c r="C33" s="23">
        <v>0.0</v>
      </c>
      <c r="D33" s="57">
        <v>0.0</v>
      </c>
      <c r="E33" s="28"/>
    </row>
    <row r="34">
      <c r="A34" s="43" t="s">
        <v>70</v>
      </c>
      <c r="B34" s="13">
        <v>0.0</v>
      </c>
      <c r="C34" s="58">
        <v>80.0</v>
      </c>
      <c r="D34" s="59">
        <f>B34*C34</f>
        <v>0</v>
      </c>
      <c r="E34" s="6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>
      <c r="A35" s="36" t="s">
        <v>29</v>
      </c>
      <c r="B35" s="2">
        <v>0.0</v>
      </c>
      <c r="C35" s="23">
        <v>0.0</v>
      </c>
      <c r="D35" s="57">
        <v>0.0</v>
      </c>
      <c r="E35" s="28" t="s">
        <v>71</v>
      </c>
    </row>
    <row r="36">
      <c r="A36" s="34" t="s">
        <v>30</v>
      </c>
      <c r="B36" s="20"/>
      <c r="C36" s="19"/>
      <c r="D36" s="61">
        <f>sum(D29:D35)</f>
        <v>0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>
      <c r="A37" s="34" t="s">
        <v>31</v>
      </c>
      <c r="B37" s="17"/>
      <c r="C37" s="18"/>
      <c r="D37" s="41">
        <f>D25-D29</f>
        <v>0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>
      <c r="A38" s="42"/>
      <c r="B38" s="4"/>
      <c r="D38" s="55"/>
    </row>
    <row r="39">
      <c r="A39" s="34" t="s">
        <v>32</v>
      </c>
      <c r="B39" s="17"/>
      <c r="C39" s="18"/>
      <c r="D39" s="62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>
      <c r="A40" s="36" t="s">
        <v>33</v>
      </c>
      <c r="B40" s="25">
        <v>1.0</v>
      </c>
      <c r="C40" s="23">
        <f>10000*8</f>
        <v>80000</v>
      </c>
      <c r="D40" s="57">
        <f t="shared" ref="D40:D41" si="3">B40*C40</f>
        <v>80000</v>
      </c>
    </row>
    <row r="41" ht="18.0" customHeight="1">
      <c r="A41" s="36" t="s">
        <v>35</v>
      </c>
      <c r="B41" s="26">
        <v>1.0</v>
      </c>
      <c r="C41" s="23">
        <f>35000000*8/D5</f>
        <v>10566.03774</v>
      </c>
      <c r="D41" s="57">
        <f t="shared" si="3"/>
        <v>10566.03774</v>
      </c>
    </row>
    <row r="42">
      <c r="A42" s="36" t="s">
        <v>36</v>
      </c>
      <c r="B42" s="26">
        <v>0.0</v>
      </c>
      <c r="C42" s="23">
        <v>0.0</v>
      </c>
      <c r="D42" s="57">
        <v>0.0</v>
      </c>
    </row>
    <row r="43">
      <c r="A43" s="36" t="s">
        <v>37</v>
      </c>
      <c r="B43" s="26">
        <v>1.0</v>
      </c>
      <c r="C43" s="23">
        <f>1000*8</f>
        <v>8000</v>
      </c>
      <c r="D43" s="57">
        <f t="shared" ref="D43:D48" si="4">B43*C43</f>
        <v>8000</v>
      </c>
    </row>
    <row r="44">
      <c r="A44" s="36" t="s">
        <v>38</v>
      </c>
      <c r="B44" s="26">
        <v>1.0</v>
      </c>
      <c r="C44" s="23">
        <f>5000000*8/D5</f>
        <v>1509.433962</v>
      </c>
      <c r="D44" s="57">
        <f t="shared" si="4"/>
        <v>1509.433962</v>
      </c>
    </row>
    <row r="45">
      <c r="A45" s="36" t="s">
        <v>64</v>
      </c>
      <c r="B45" s="25">
        <v>0.0</v>
      </c>
      <c r="C45" s="23">
        <f>10000000*8/D5</f>
        <v>3018.867925</v>
      </c>
      <c r="D45" s="57">
        <f t="shared" si="4"/>
        <v>0</v>
      </c>
    </row>
    <row r="46">
      <c r="A46" s="36" t="s">
        <v>42</v>
      </c>
      <c r="B46" s="26">
        <v>1.0</v>
      </c>
      <c r="C46" s="23">
        <f>40000000*8/D5</f>
        <v>12075.4717</v>
      </c>
      <c r="D46" s="57">
        <f t="shared" si="4"/>
        <v>12075.4717</v>
      </c>
    </row>
    <row r="47">
      <c r="A47" s="36" t="s">
        <v>72</v>
      </c>
      <c r="B47" s="2">
        <v>1.0</v>
      </c>
      <c r="C47" s="23">
        <f>1000*8</f>
        <v>8000</v>
      </c>
      <c r="D47" s="57">
        <f t="shared" si="4"/>
        <v>8000</v>
      </c>
    </row>
    <row r="48">
      <c r="A48" s="43" t="s">
        <v>73</v>
      </c>
      <c r="B48" s="13">
        <v>1.0</v>
      </c>
      <c r="C48" s="58">
        <f>500*8</f>
        <v>4000</v>
      </c>
      <c r="D48" s="59">
        <f t="shared" si="4"/>
        <v>4000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>
      <c r="A49" s="34" t="s">
        <v>47</v>
      </c>
      <c r="B49" s="17"/>
      <c r="C49" s="18"/>
      <c r="D49" s="41">
        <f>sum(D40:D48)</f>
        <v>124150.9434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>
      <c r="A50" s="42"/>
      <c r="B50" s="4"/>
      <c r="D50" s="55"/>
    </row>
    <row r="51">
      <c r="A51" s="34" t="s">
        <v>48</v>
      </c>
      <c r="B51" s="17"/>
      <c r="C51" s="18"/>
      <c r="D51" s="41">
        <f>D37-D49</f>
        <v>-124150.9434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>
      <c r="A52" s="36" t="s">
        <v>49</v>
      </c>
      <c r="B52" s="4"/>
      <c r="D52" s="35">
        <v>0.0</v>
      </c>
    </row>
    <row r="53">
      <c r="A53" s="34" t="s">
        <v>50</v>
      </c>
      <c r="B53" s="17"/>
      <c r="C53" s="18"/>
      <c r="D53" s="41">
        <f>D51-D52</f>
        <v>-124150.9434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>
      <c r="A54" s="36" t="s">
        <v>74</v>
      </c>
      <c r="B54" s="4"/>
      <c r="D54" s="35">
        <v>0.0</v>
      </c>
    </row>
    <row r="55">
      <c r="A55" s="43" t="s">
        <v>51</v>
      </c>
      <c r="B55" s="15"/>
      <c r="C55" s="11"/>
      <c r="D55" s="63">
        <f>MAX(0,D53+ MIN(0,D54))*20%</f>
        <v>0</v>
      </c>
    </row>
    <row r="56">
      <c r="A56" s="45" t="s">
        <v>52</v>
      </c>
      <c r="B56" s="64"/>
      <c r="C56" s="65"/>
      <c r="D56" s="66">
        <f>D53-D55</f>
        <v>-124150.9434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>
      <c r="A57" s="67" t="s">
        <v>75</v>
      </c>
      <c r="B57" s="68"/>
      <c r="C57" s="69"/>
      <c r="D57" s="70">
        <f>D56</f>
        <v>-124150.9434</v>
      </c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</row>
    <row r="58">
      <c r="B58" s="4"/>
    </row>
    <row r="59">
      <c r="B59" s="4"/>
      <c r="C59" s="3" t="s">
        <v>84</v>
      </c>
      <c r="D59" s="72">
        <f>D57-'P&amp;L 2026 - Monthly Breakdown '!L56</f>
        <v>0</v>
      </c>
    </row>
    <row r="60">
      <c r="B60" s="4"/>
    </row>
    <row r="61">
      <c r="A61" s="28"/>
      <c r="B61" s="2"/>
      <c r="C61" s="10"/>
      <c r="D61" s="10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  <row r="1001">
      <c r="B1001" s="4"/>
    </row>
    <row r="1002">
      <c r="B1002" s="4"/>
    </row>
    <row r="1003">
      <c r="B1003" s="4"/>
    </row>
    <row r="1004">
      <c r="B1004" s="4"/>
    </row>
    <row r="1005">
      <c r="B1005" s="4"/>
    </row>
    <row r="1006">
      <c r="B1006" s="4"/>
    </row>
    <row r="1007">
      <c r="B1007" s="4"/>
    </row>
    <row r="1008">
      <c r="B1008" s="4"/>
    </row>
    <row r="1009">
      <c r="B1009" s="4"/>
    </row>
    <row r="1010">
      <c r="B1010" s="4"/>
    </row>
    <row r="1011">
      <c r="B1011" s="4"/>
    </row>
    <row r="1012">
      <c r="B1012" s="4"/>
    </row>
    <row r="1013">
      <c r="B1013" s="4"/>
    </row>
    <row r="1014">
      <c r="B1014" s="4"/>
    </row>
    <row r="1015">
      <c r="B1015" s="4"/>
    </row>
    <row r="1016">
      <c r="B1016" s="4"/>
    </row>
    <row r="1017">
      <c r="B1017" s="4"/>
    </row>
    <row r="1018">
      <c r="B1018" s="4"/>
    </row>
    <row r="1019">
      <c r="B1019" s="4"/>
    </row>
    <row r="1020">
      <c r="B1020" s="4"/>
    </row>
    <row r="1021">
      <c r="B1021" s="4"/>
    </row>
    <row r="1022">
      <c r="B1022" s="4"/>
    </row>
    <row r="1023">
      <c r="B1023" s="4"/>
    </row>
    <row r="1024">
      <c r="B1024" s="4"/>
    </row>
    <row r="1025">
      <c r="B1025" s="4"/>
    </row>
    <row r="1026">
      <c r="B1026" s="4"/>
    </row>
    <row r="1027">
      <c r="B1027" s="4"/>
    </row>
    <row r="1028">
      <c r="B1028" s="4"/>
    </row>
    <row r="1029">
      <c r="B1029" s="4"/>
    </row>
  </sheetData>
  <mergeCells count="2">
    <mergeCell ref="A2:D2"/>
    <mergeCell ref="A3:D3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10.5"/>
    <col customWidth="1" min="3" max="3" width="13.0"/>
    <col customWidth="1" min="4" max="4" width="15.75"/>
    <col customWidth="1" min="5" max="5" width="19.63"/>
  </cols>
  <sheetData>
    <row r="1">
      <c r="A1" s="1" t="s">
        <v>0</v>
      </c>
      <c r="B1" s="2"/>
      <c r="C1" s="3"/>
      <c r="D1" s="3"/>
    </row>
    <row r="2">
      <c r="A2" s="5" t="s">
        <v>1</v>
      </c>
    </row>
    <row r="3">
      <c r="A3" s="5" t="s">
        <v>85</v>
      </c>
    </row>
    <row r="4">
      <c r="A4" s="3"/>
      <c r="B4" s="2"/>
      <c r="C4" s="3" t="s">
        <v>2</v>
      </c>
      <c r="D4" s="6" t="s">
        <v>3</v>
      </c>
    </row>
    <row r="5">
      <c r="A5" s="3"/>
      <c r="B5" s="2"/>
      <c r="C5" s="3" t="s">
        <v>4</v>
      </c>
      <c r="D5" s="2">
        <v>26500.0</v>
      </c>
    </row>
    <row r="6">
      <c r="A6" s="7"/>
      <c r="B6" s="8"/>
      <c r="C6" s="3" t="s">
        <v>5</v>
      </c>
      <c r="D6" s="2">
        <v>19000.0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7"/>
      <c r="B7" s="8"/>
      <c r="C7" s="7"/>
      <c r="D7" s="7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31" t="s">
        <v>6</v>
      </c>
      <c r="B8" s="32" t="s">
        <v>82</v>
      </c>
      <c r="C8" s="32" t="s">
        <v>8</v>
      </c>
      <c r="D8" s="33" t="s">
        <v>9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34" t="s">
        <v>58</v>
      </c>
      <c r="B9" s="2"/>
      <c r="C9" s="10"/>
      <c r="D9" s="35"/>
    </row>
    <row r="10">
      <c r="A10" s="36" t="s">
        <v>86</v>
      </c>
      <c r="B10" s="2">
        <f>6*12</f>
        <v>72</v>
      </c>
      <c r="C10" s="10"/>
      <c r="D10" s="35"/>
    </row>
    <row r="11">
      <c r="A11" s="36" t="s">
        <v>60</v>
      </c>
      <c r="B11" s="38">
        <v>0.2</v>
      </c>
      <c r="C11" s="10"/>
      <c r="D11" s="35"/>
    </row>
    <row r="12">
      <c r="A12" s="40" t="s">
        <v>61</v>
      </c>
      <c r="B12" s="2">
        <v>5000.0</v>
      </c>
      <c r="C12" s="10"/>
      <c r="D12" s="35"/>
    </row>
    <row r="13">
      <c r="A13" s="36" t="s">
        <v>33</v>
      </c>
      <c r="B13" s="2">
        <v>1.0</v>
      </c>
      <c r="C13" s="10"/>
      <c r="D13" s="35"/>
    </row>
    <row r="14">
      <c r="A14" s="36" t="s">
        <v>62</v>
      </c>
      <c r="B14" s="2">
        <v>1.0</v>
      </c>
      <c r="C14" s="10"/>
      <c r="D14" s="35"/>
    </row>
    <row r="15">
      <c r="A15" s="36" t="s">
        <v>63</v>
      </c>
      <c r="B15" s="2">
        <v>1.0</v>
      </c>
      <c r="C15" s="10"/>
      <c r="D15" s="35"/>
    </row>
    <row r="16">
      <c r="A16" s="36" t="s">
        <v>64</v>
      </c>
      <c r="B16" s="2">
        <v>0.0</v>
      </c>
      <c r="C16" s="10"/>
      <c r="D16" s="35"/>
    </row>
    <row r="17">
      <c r="A17" s="40" t="s">
        <v>65</v>
      </c>
      <c r="B17" s="38">
        <v>0.1</v>
      </c>
      <c r="C17" s="10"/>
      <c r="D17" s="35"/>
    </row>
    <row r="18">
      <c r="A18" s="36" t="s">
        <v>24</v>
      </c>
      <c r="B18" s="2">
        <v>2500.0</v>
      </c>
      <c r="D18" s="55"/>
    </row>
    <row r="19">
      <c r="A19" s="42"/>
      <c r="D19" s="55"/>
    </row>
    <row r="20">
      <c r="A20" s="34" t="s">
        <v>66</v>
      </c>
      <c r="B20" s="2"/>
      <c r="C20" s="10"/>
      <c r="D20" s="35"/>
    </row>
    <row r="21">
      <c r="A21" s="36" t="s">
        <v>67</v>
      </c>
      <c r="B21" s="2">
        <f>B10</f>
        <v>72</v>
      </c>
      <c r="C21" s="10">
        <v>4000.0</v>
      </c>
      <c r="D21" s="35">
        <f t="shared" ref="D21:D24" si="1">B21*C21</f>
        <v>288000</v>
      </c>
    </row>
    <row r="22">
      <c r="A22" s="36" t="s">
        <v>68</v>
      </c>
      <c r="B22" s="2">
        <f>B10</f>
        <v>72</v>
      </c>
      <c r="C22" s="10">
        <f>(B12*D6)/D5</f>
        <v>3584.90566</v>
      </c>
      <c r="D22" s="35">
        <f t="shared" si="1"/>
        <v>258113.2075</v>
      </c>
    </row>
    <row r="23">
      <c r="A23" s="36" t="s">
        <v>15</v>
      </c>
      <c r="B23" s="2">
        <f>B10</f>
        <v>72</v>
      </c>
      <c r="C23" s="10">
        <f>2000</f>
        <v>2000</v>
      </c>
      <c r="D23" s="35">
        <f t="shared" si="1"/>
        <v>144000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36" t="s">
        <v>69</v>
      </c>
      <c r="B24" s="2">
        <f>B10</f>
        <v>72</v>
      </c>
      <c r="C24" s="10">
        <f>700</f>
        <v>700</v>
      </c>
      <c r="D24" s="35">
        <f t="shared" si="1"/>
        <v>50400</v>
      </c>
      <c r="E24" s="12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34" t="s">
        <v>20</v>
      </c>
      <c r="B25" s="17"/>
      <c r="C25" s="18"/>
      <c r="D25" s="41">
        <f>SUM(D21:D24)</f>
        <v>740513.2075</v>
      </c>
      <c r="E25" s="16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>
      <c r="A26" s="42"/>
      <c r="B26" s="4"/>
      <c r="D26" s="55"/>
    </row>
    <row r="27">
      <c r="A27" s="34" t="s">
        <v>22</v>
      </c>
      <c r="B27" s="21"/>
      <c r="C27" s="22"/>
      <c r="D27" s="56"/>
      <c r="E27" s="22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>
      <c r="A28" s="43" t="s">
        <v>17</v>
      </c>
      <c r="B28" s="13">
        <f>B10</f>
        <v>72</v>
      </c>
      <c r="C28" s="14">
        <f>C22*10%</f>
        <v>358.490566</v>
      </c>
      <c r="D28" s="44">
        <f t="shared" ref="D28:D29" si="2">B28*C28</f>
        <v>25811.32075</v>
      </c>
      <c r="E28" s="12"/>
      <c r="F28" s="12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36" t="s">
        <v>23</v>
      </c>
      <c r="B29" s="2">
        <f>B10</f>
        <v>72</v>
      </c>
      <c r="C29" s="23">
        <f>(C21-(B18*D6)/D5)</f>
        <v>2207.54717</v>
      </c>
      <c r="D29" s="57">
        <f t="shared" si="2"/>
        <v>158943.3962</v>
      </c>
      <c r="E29" s="25"/>
    </row>
    <row r="30">
      <c r="A30" s="36" t="s">
        <v>25</v>
      </c>
      <c r="B30" s="26">
        <v>0.0</v>
      </c>
      <c r="C30" s="23">
        <v>0.0</v>
      </c>
      <c r="D30" s="57">
        <v>0.0</v>
      </c>
      <c r="E30" s="27"/>
    </row>
    <row r="31">
      <c r="A31" s="40" t="s">
        <v>26</v>
      </c>
      <c r="B31" s="2">
        <f>B10</f>
        <v>72</v>
      </c>
      <c r="C31" s="23">
        <v>500.0</v>
      </c>
      <c r="D31" s="57">
        <f>B31*C31</f>
        <v>36000</v>
      </c>
      <c r="E31" s="27"/>
    </row>
    <row r="32">
      <c r="A32" s="36" t="s">
        <v>27</v>
      </c>
      <c r="B32" s="26">
        <v>0.0</v>
      </c>
      <c r="C32" s="23">
        <v>0.0</v>
      </c>
      <c r="D32" s="57">
        <v>0.0</v>
      </c>
      <c r="E32" s="27"/>
    </row>
    <row r="33">
      <c r="A33" s="36" t="s">
        <v>28</v>
      </c>
      <c r="B33" s="26">
        <v>0.0</v>
      </c>
      <c r="C33" s="23">
        <v>0.0</v>
      </c>
      <c r="D33" s="57">
        <v>0.0</v>
      </c>
      <c r="E33" s="28"/>
    </row>
    <row r="34">
      <c r="A34" s="43" t="s">
        <v>70</v>
      </c>
      <c r="B34" s="13">
        <v>72.0</v>
      </c>
      <c r="C34" s="58">
        <v>80.0</v>
      </c>
      <c r="D34" s="59">
        <f>B34*C34</f>
        <v>5760</v>
      </c>
      <c r="E34" s="6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>
      <c r="A35" s="36" t="s">
        <v>29</v>
      </c>
      <c r="B35" s="2">
        <v>0.0</v>
      </c>
      <c r="C35" s="23">
        <v>0.0</v>
      </c>
      <c r="D35" s="57">
        <v>0.0</v>
      </c>
      <c r="E35" s="28" t="s">
        <v>71</v>
      </c>
    </row>
    <row r="36">
      <c r="A36" s="34" t="s">
        <v>30</v>
      </c>
      <c r="B36" s="20"/>
      <c r="C36" s="19"/>
      <c r="D36" s="61">
        <f>sum(D28:D35)</f>
        <v>226514.717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>
      <c r="A37" s="34" t="s">
        <v>31</v>
      </c>
      <c r="B37" s="17"/>
      <c r="C37" s="18"/>
      <c r="D37" s="41">
        <f>D25-D36</f>
        <v>513998.4906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>
      <c r="A38" s="42"/>
      <c r="B38" s="4"/>
      <c r="D38" s="55"/>
    </row>
    <row r="39">
      <c r="A39" s="34" t="s">
        <v>32</v>
      </c>
      <c r="B39" s="17"/>
      <c r="C39" s="18"/>
      <c r="D39" s="62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>
      <c r="A40" s="36" t="s">
        <v>33</v>
      </c>
      <c r="B40" s="25">
        <v>1.0</v>
      </c>
      <c r="C40" s="23">
        <f>10000*12</f>
        <v>120000</v>
      </c>
      <c r="D40" s="57">
        <f t="shared" ref="D40:D41" si="3">B40*C40</f>
        <v>120000</v>
      </c>
    </row>
    <row r="41" ht="18.0" customHeight="1">
      <c r="A41" s="36" t="s">
        <v>35</v>
      </c>
      <c r="B41" s="26">
        <v>1.0</v>
      </c>
      <c r="C41" s="23">
        <f>35000000*13/D5</f>
        <v>17169.81132</v>
      </c>
      <c r="D41" s="57">
        <f t="shared" si="3"/>
        <v>17169.81132</v>
      </c>
    </row>
    <row r="42">
      <c r="A42" s="36" t="s">
        <v>36</v>
      </c>
      <c r="B42" s="26">
        <v>0.0</v>
      </c>
      <c r="C42" s="23">
        <v>0.0</v>
      </c>
      <c r="D42" s="57">
        <v>0.0</v>
      </c>
    </row>
    <row r="43">
      <c r="A43" s="36" t="s">
        <v>37</v>
      </c>
      <c r="B43" s="26">
        <v>1.0</v>
      </c>
      <c r="C43" s="23">
        <f>1000*12</f>
        <v>12000</v>
      </c>
      <c r="D43" s="57">
        <f t="shared" ref="D43:D48" si="4">B43*C43</f>
        <v>12000</v>
      </c>
    </row>
    <row r="44">
      <c r="A44" s="36" t="s">
        <v>38</v>
      </c>
      <c r="B44" s="26">
        <v>1.0</v>
      </c>
      <c r="C44" s="23">
        <f>10000000*12/D5</f>
        <v>4528.301887</v>
      </c>
      <c r="D44" s="57">
        <f t="shared" si="4"/>
        <v>4528.301887</v>
      </c>
    </row>
    <row r="45">
      <c r="A45" s="36" t="s">
        <v>64</v>
      </c>
      <c r="B45" s="25">
        <v>0.0</v>
      </c>
      <c r="C45" s="23">
        <f>10000000*13/D5</f>
        <v>4905.660377</v>
      </c>
      <c r="D45" s="57">
        <f t="shared" si="4"/>
        <v>0</v>
      </c>
    </row>
    <row r="46">
      <c r="A46" s="36" t="s">
        <v>42</v>
      </c>
      <c r="B46" s="26">
        <v>1.0</v>
      </c>
      <c r="C46" s="23">
        <f>40000000*13/D5</f>
        <v>19622.64151</v>
      </c>
      <c r="D46" s="57">
        <f t="shared" si="4"/>
        <v>19622.64151</v>
      </c>
    </row>
    <row r="47">
      <c r="A47" s="36" t="s">
        <v>72</v>
      </c>
      <c r="B47" s="2">
        <v>1.0</v>
      </c>
      <c r="C47" s="23">
        <f>1000*12</f>
        <v>12000</v>
      </c>
      <c r="D47" s="57">
        <f t="shared" si="4"/>
        <v>12000</v>
      </c>
    </row>
    <row r="48">
      <c r="A48" s="43" t="s">
        <v>73</v>
      </c>
      <c r="B48" s="13">
        <v>1.0</v>
      </c>
      <c r="C48" s="58">
        <f>500*12</f>
        <v>6000</v>
      </c>
      <c r="D48" s="59">
        <f t="shared" si="4"/>
        <v>6000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>
      <c r="A49" s="34" t="s">
        <v>47</v>
      </c>
      <c r="B49" s="17"/>
      <c r="C49" s="18"/>
      <c r="D49" s="41">
        <f>sum(D40:D48)</f>
        <v>191320.7547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>
      <c r="A50" s="42"/>
      <c r="B50" s="4"/>
      <c r="D50" s="55"/>
    </row>
    <row r="51">
      <c r="A51" s="34" t="s">
        <v>48</v>
      </c>
      <c r="B51" s="17"/>
      <c r="C51" s="18"/>
      <c r="D51" s="41">
        <f>D37-D49</f>
        <v>322677.7358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>
      <c r="A52" s="36" t="s">
        <v>49</v>
      </c>
      <c r="B52" s="4"/>
      <c r="D52" s="35">
        <v>0.0</v>
      </c>
    </row>
    <row r="53">
      <c r="A53" s="34" t="s">
        <v>50</v>
      </c>
      <c r="B53" s="17"/>
      <c r="C53" s="18"/>
      <c r="D53" s="41">
        <f>D51-D52</f>
        <v>322677.7358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>
      <c r="A54" s="36" t="s">
        <v>74</v>
      </c>
      <c r="B54" s="4"/>
      <c r="D54" s="35">
        <f>'P&amp;L 2026'!D56</f>
        <v>-124150.9434</v>
      </c>
    </row>
    <row r="55">
      <c r="A55" s="43" t="s">
        <v>51</v>
      </c>
      <c r="B55" s="15"/>
      <c r="C55" s="11"/>
      <c r="D55" s="63">
        <f>MAX(0,D53+ MIN(0,D54))*20%</f>
        <v>39705.35849</v>
      </c>
    </row>
    <row r="56">
      <c r="A56" s="45" t="s">
        <v>52</v>
      </c>
      <c r="B56" s="64"/>
      <c r="C56" s="65"/>
      <c r="D56" s="66">
        <f>D53-D55</f>
        <v>282972.3774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>
      <c r="A57" s="67" t="s">
        <v>75</v>
      </c>
      <c r="B57" s="68"/>
      <c r="C57" s="69"/>
      <c r="D57" s="70">
        <f>D54+D56</f>
        <v>158821.434</v>
      </c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</row>
    <row r="58">
      <c r="B58" s="4"/>
    </row>
    <row r="59">
      <c r="B59" s="4"/>
    </row>
    <row r="60">
      <c r="B60" s="4"/>
    </row>
    <row r="61">
      <c r="A61" s="28"/>
      <c r="B61" s="2"/>
      <c r="C61" s="10"/>
      <c r="D61" s="10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  <row r="1001">
      <c r="B1001" s="4"/>
    </row>
    <row r="1002">
      <c r="B1002" s="4"/>
    </row>
    <row r="1003">
      <c r="B1003" s="4"/>
    </row>
    <row r="1004">
      <c r="B1004" s="4"/>
    </row>
    <row r="1005">
      <c r="B1005" s="4"/>
    </row>
    <row r="1006">
      <c r="B1006" s="4"/>
    </row>
    <row r="1007">
      <c r="B1007" s="4"/>
    </row>
    <row r="1008">
      <c r="B1008" s="4"/>
    </row>
    <row r="1009">
      <c r="B1009" s="4"/>
    </row>
    <row r="1010">
      <c r="B1010" s="4"/>
    </row>
    <row r="1011">
      <c r="B1011" s="4"/>
    </row>
    <row r="1012">
      <c r="B1012" s="4"/>
    </row>
    <row r="1013">
      <c r="B1013" s="4"/>
    </row>
    <row r="1014">
      <c r="B1014" s="4"/>
    </row>
    <row r="1015">
      <c r="B1015" s="4"/>
    </row>
    <row r="1016">
      <c r="B1016" s="4"/>
    </row>
    <row r="1017">
      <c r="B1017" s="4"/>
    </row>
    <row r="1018">
      <c r="B1018" s="4"/>
    </row>
    <row r="1019">
      <c r="B1019" s="4"/>
    </row>
    <row r="1020">
      <c r="B1020" s="4"/>
    </row>
    <row r="1021">
      <c r="B1021" s="4"/>
    </row>
    <row r="1022">
      <c r="B1022" s="4"/>
    </row>
    <row r="1023">
      <c r="B1023" s="4"/>
    </row>
    <row r="1024">
      <c r="B1024" s="4"/>
    </row>
    <row r="1025">
      <c r="B1025" s="4"/>
    </row>
    <row r="1026">
      <c r="B1026" s="4"/>
    </row>
    <row r="1027">
      <c r="B1027" s="4"/>
    </row>
    <row r="1028">
      <c r="B1028" s="4"/>
    </row>
    <row r="1029">
      <c r="B1029" s="4"/>
    </row>
  </sheetData>
  <mergeCells count="2">
    <mergeCell ref="A2:D2"/>
    <mergeCell ref="A3:D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10.5"/>
    <col customWidth="1" min="3" max="3" width="13.0"/>
    <col customWidth="1" min="4" max="4" width="15.75"/>
    <col customWidth="1" min="5" max="5" width="19.63"/>
  </cols>
  <sheetData>
    <row r="1">
      <c r="A1" s="1" t="s">
        <v>0</v>
      </c>
      <c r="B1" s="2"/>
      <c r="C1" s="3"/>
      <c r="D1" s="3"/>
    </row>
    <row r="2">
      <c r="A2" s="5" t="s">
        <v>1</v>
      </c>
    </row>
    <row r="3">
      <c r="A3" s="5" t="s">
        <v>87</v>
      </c>
    </row>
    <row r="4">
      <c r="A4" s="3"/>
      <c r="B4" s="2"/>
      <c r="C4" s="3" t="s">
        <v>2</v>
      </c>
      <c r="D4" s="6" t="s">
        <v>3</v>
      </c>
    </row>
    <row r="5">
      <c r="A5" s="3"/>
      <c r="B5" s="2"/>
      <c r="C5" s="3" t="s">
        <v>4</v>
      </c>
      <c r="D5" s="2">
        <v>26500.0</v>
      </c>
    </row>
    <row r="6">
      <c r="A6" s="7"/>
      <c r="B6" s="8"/>
      <c r="C6" s="3" t="s">
        <v>5</v>
      </c>
      <c r="D6" s="2">
        <v>19000.0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7"/>
      <c r="B7" s="8"/>
      <c r="C7" s="7"/>
      <c r="D7" s="7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31" t="s">
        <v>6</v>
      </c>
      <c r="B8" s="32" t="s">
        <v>82</v>
      </c>
      <c r="C8" s="32" t="s">
        <v>8</v>
      </c>
      <c r="D8" s="33" t="s">
        <v>9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34" t="s">
        <v>58</v>
      </c>
      <c r="B9" s="2"/>
      <c r="C9" s="10"/>
      <c r="D9" s="35"/>
    </row>
    <row r="10">
      <c r="A10" s="36" t="s">
        <v>86</v>
      </c>
      <c r="B10" s="2">
        <f>6*12</f>
        <v>72</v>
      </c>
      <c r="C10" s="10"/>
      <c r="D10" s="35"/>
    </row>
    <row r="11">
      <c r="A11" s="36" t="s">
        <v>60</v>
      </c>
      <c r="B11" s="38">
        <v>0.2</v>
      </c>
      <c r="C11" s="10"/>
      <c r="D11" s="35"/>
    </row>
    <row r="12">
      <c r="A12" s="40" t="s">
        <v>61</v>
      </c>
      <c r="B12" s="2">
        <v>5000.0</v>
      </c>
      <c r="C12" s="10"/>
      <c r="D12" s="35"/>
    </row>
    <row r="13">
      <c r="A13" s="36" t="s">
        <v>33</v>
      </c>
      <c r="B13" s="2">
        <v>1.0</v>
      </c>
      <c r="C13" s="10"/>
      <c r="D13" s="35"/>
    </row>
    <row r="14">
      <c r="A14" s="36" t="s">
        <v>62</v>
      </c>
      <c r="B14" s="2">
        <v>1.0</v>
      </c>
      <c r="C14" s="10"/>
      <c r="D14" s="35"/>
    </row>
    <row r="15">
      <c r="A15" s="36" t="s">
        <v>63</v>
      </c>
      <c r="B15" s="2">
        <v>1.0</v>
      </c>
      <c r="C15" s="10"/>
      <c r="D15" s="35"/>
    </row>
    <row r="16">
      <c r="A16" s="36" t="s">
        <v>64</v>
      </c>
      <c r="B16" s="2">
        <v>1.0</v>
      </c>
      <c r="C16" s="10"/>
      <c r="D16" s="35"/>
    </row>
    <row r="17">
      <c r="A17" s="40" t="s">
        <v>65</v>
      </c>
      <c r="B17" s="38">
        <v>0.1</v>
      </c>
      <c r="C17" s="10"/>
      <c r="D17" s="35"/>
    </row>
    <row r="18">
      <c r="A18" s="36" t="s">
        <v>24</v>
      </c>
      <c r="B18" s="2">
        <v>2500.0</v>
      </c>
      <c r="D18" s="55"/>
    </row>
    <row r="19">
      <c r="A19" s="42"/>
      <c r="D19" s="55"/>
    </row>
    <row r="20">
      <c r="A20" s="34" t="s">
        <v>66</v>
      </c>
      <c r="B20" s="2"/>
      <c r="C20" s="10"/>
      <c r="D20" s="35"/>
    </row>
    <row r="21">
      <c r="A21" s="36" t="s">
        <v>67</v>
      </c>
      <c r="B21" s="2">
        <f>B10+B10*B11</f>
        <v>86.4</v>
      </c>
      <c r="C21" s="10">
        <v>4000.0</v>
      </c>
      <c r="D21" s="35">
        <f t="shared" ref="D21:D24" si="1">B21*C21</f>
        <v>345600</v>
      </c>
    </row>
    <row r="22">
      <c r="A22" s="36" t="s">
        <v>68</v>
      </c>
      <c r="B22" s="2">
        <f>B21</f>
        <v>86.4</v>
      </c>
      <c r="C22" s="10">
        <f>(B12*D6)/D5</f>
        <v>3584.90566</v>
      </c>
      <c r="D22" s="35">
        <f t="shared" si="1"/>
        <v>309735.8491</v>
      </c>
    </row>
    <row r="23">
      <c r="A23" s="36" t="s">
        <v>15</v>
      </c>
      <c r="B23" s="2">
        <f>B21</f>
        <v>86.4</v>
      </c>
      <c r="C23" s="10">
        <f>2000</f>
        <v>2000</v>
      </c>
      <c r="D23" s="35">
        <f t="shared" si="1"/>
        <v>172800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36" t="s">
        <v>69</v>
      </c>
      <c r="B24" s="2">
        <f>B21</f>
        <v>86.4</v>
      </c>
      <c r="C24" s="10">
        <f>700</f>
        <v>700</v>
      </c>
      <c r="D24" s="35">
        <f t="shared" si="1"/>
        <v>60480</v>
      </c>
      <c r="E24" s="12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34" t="s">
        <v>20</v>
      </c>
      <c r="B25" s="17"/>
      <c r="C25" s="18"/>
      <c r="D25" s="41">
        <f>SUM(D21:D24)</f>
        <v>888615.8491</v>
      </c>
      <c r="E25" s="16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>
      <c r="A26" s="42"/>
      <c r="B26" s="4"/>
      <c r="D26" s="55"/>
    </row>
    <row r="27">
      <c r="A27" s="34" t="s">
        <v>22</v>
      </c>
      <c r="B27" s="21"/>
      <c r="C27" s="22"/>
      <c r="D27" s="56"/>
      <c r="E27" s="22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>
      <c r="A28" s="43" t="s">
        <v>17</v>
      </c>
      <c r="B28" s="13">
        <f>B21</f>
        <v>86.4</v>
      </c>
      <c r="C28" s="14">
        <f>C22*10%</f>
        <v>358.490566</v>
      </c>
      <c r="D28" s="44">
        <f t="shared" ref="D28:D29" si="2">B28*C28</f>
        <v>30973.58491</v>
      </c>
      <c r="E28" s="12"/>
      <c r="F28" s="12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36" t="s">
        <v>23</v>
      </c>
      <c r="B29" s="2">
        <f>B21</f>
        <v>86.4</v>
      </c>
      <c r="C29" s="23">
        <f>(C21-(B18*D6)/D5)</f>
        <v>2207.54717</v>
      </c>
      <c r="D29" s="57">
        <f t="shared" si="2"/>
        <v>190732.0755</v>
      </c>
      <c r="E29" s="25"/>
    </row>
    <row r="30">
      <c r="A30" s="36" t="s">
        <v>25</v>
      </c>
      <c r="B30" s="26">
        <v>0.0</v>
      </c>
      <c r="C30" s="23">
        <v>0.0</v>
      </c>
      <c r="D30" s="57">
        <v>0.0</v>
      </c>
      <c r="E30" s="27"/>
    </row>
    <row r="31">
      <c r="A31" s="40" t="s">
        <v>26</v>
      </c>
      <c r="B31" s="2">
        <f>B21</f>
        <v>86.4</v>
      </c>
      <c r="C31" s="23">
        <v>500.0</v>
      </c>
      <c r="D31" s="57">
        <f>B31*C31</f>
        <v>43200</v>
      </c>
      <c r="E31" s="27"/>
    </row>
    <row r="32">
      <c r="A32" s="36" t="s">
        <v>27</v>
      </c>
      <c r="B32" s="26">
        <v>0.0</v>
      </c>
      <c r="C32" s="23">
        <v>0.0</v>
      </c>
      <c r="D32" s="57">
        <v>0.0</v>
      </c>
      <c r="E32" s="27"/>
    </row>
    <row r="33">
      <c r="A33" s="36" t="s">
        <v>28</v>
      </c>
      <c r="B33" s="26">
        <v>0.0</v>
      </c>
      <c r="C33" s="23">
        <v>0.0</v>
      </c>
      <c r="D33" s="57">
        <v>0.0</v>
      </c>
      <c r="E33" s="28"/>
    </row>
    <row r="34">
      <c r="A34" s="43" t="s">
        <v>70</v>
      </c>
      <c r="B34" s="13">
        <f>B21</f>
        <v>86.4</v>
      </c>
      <c r="C34" s="58">
        <v>80.0</v>
      </c>
      <c r="D34" s="59">
        <f>B34*C34</f>
        <v>6912</v>
      </c>
      <c r="E34" s="6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>
      <c r="A35" s="36" t="s">
        <v>29</v>
      </c>
      <c r="B35" s="2">
        <v>0.0</v>
      </c>
      <c r="C35" s="23">
        <v>0.0</v>
      </c>
      <c r="D35" s="57">
        <v>0.0</v>
      </c>
      <c r="E35" s="28" t="s">
        <v>71</v>
      </c>
    </row>
    <row r="36">
      <c r="A36" s="34" t="s">
        <v>30</v>
      </c>
      <c r="B36" s="20"/>
      <c r="C36" s="19"/>
      <c r="D36" s="61">
        <f>sum(D28:D35)</f>
        <v>271817.6604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>
      <c r="A37" s="34" t="s">
        <v>31</v>
      </c>
      <c r="B37" s="17"/>
      <c r="C37" s="18"/>
      <c r="D37" s="41">
        <f>D25-D36</f>
        <v>616798.1887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>
      <c r="A38" s="42"/>
      <c r="B38" s="4"/>
      <c r="D38" s="55"/>
    </row>
    <row r="39">
      <c r="A39" s="34" t="s">
        <v>32</v>
      </c>
      <c r="B39" s="17"/>
      <c r="C39" s="18"/>
      <c r="D39" s="62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>
      <c r="A40" s="36" t="s">
        <v>33</v>
      </c>
      <c r="B40" s="25">
        <v>1.0</v>
      </c>
      <c r="C40" s="23">
        <f>10000*12</f>
        <v>120000</v>
      </c>
      <c r="D40" s="57">
        <f t="shared" ref="D40:D41" si="3">B40*C40</f>
        <v>120000</v>
      </c>
    </row>
    <row r="41" ht="18.0" customHeight="1">
      <c r="A41" s="36" t="s">
        <v>35</v>
      </c>
      <c r="B41" s="26">
        <v>1.0</v>
      </c>
      <c r="C41" s="23">
        <f>35000000*13/D5+35000000*13/D5*B17</f>
        <v>18886.79245</v>
      </c>
      <c r="D41" s="57">
        <f t="shared" si="3"/>
        <v>18886.79245</v>
      </c>
    </row>
    <row r="42">
      <c r="A42" s="36" t="s">
        <v>36</v>
      </c>
      <c r="B42" s="26">
        <v>0.0</v>
      </c>
      <c r="C42" s="23">
        <v>0.0</v>
      </c>
      <c r="D42" s="57">
        <v>0.0</v>
      </c>
    </row>
    <row r="43">
      <c r="A43" s="36" t="s">
        <v>37</v>
      </c>
      <c r="B43" s="26">
        <v>1.0</v>
      </c>
      <c r="C43" s="23">
        <f>1000*12</f>
        <v>12000</v>
      </c>
      <c r="D43" s="57">
        <f t="shared" ref="D43:D48" si="4">B43*C43</f>
        <v>12000</v>
      </c>
    </row>
    <row r="44">
      <c r="A44" s="36" t="s">
        <v>38</v>
      </c>
      <c r="B44" s="26">
        <v>1.0</v>
      </c>
      <c r="C44" s="23">
        <f>10000000*12/D5</f>
        <v>4528.301887</v>
      </c>
      <c r="D44" s="57">
        <f t="shared" si="4"/>
        <v>4528.301887</v>
      </c>
    </row>
    <row r="45">
      <c r="A45" s="36" t="s">
        <v>64</v>
      </c>
      <c r="B45" s="25">
        <v>1.0</v>
      </c>
      <c r="C45" s="23">
        <f>10000000*13/D5</f>
        <v>4905.660377</v>
      </c>
      <c r="D45" s="57">
        <f t="shared" si="4"/>
        <v>4905.660377</v>
      </c>
    </row>
    <row r="46">
      <c r="A46" s="36" t="s">
        <v>42</v>
      </c>
      <c r="B46" s="26">
        <v>1.0</v>
      </c>
      <c r="C46" s="23">
        <f>40000000*13/D5+40000000*13/D5*B17</f>
        <v>21584.90566</v>
      </c>
      <c r="D46" s="57">
        <f t="shared" si="4"/>
        <v>21584.90566</v>
      </c>
    </row>
    <row r="47">
      <c r="A47" s="36" t="s">
        <v>72</v>
      </c>
      <c r="B47" s="2">
        <v>1.0</v>
      </c>
      <c r="C47" s="23">
        <f>1000*12</f>
        <v>12000</v>
      </c>
      <c r="D47" s="57">
        <f t="shared" si="4"/>
        <v>12000</v>
      </c>
    </row>
    <row r="48">
      <c r="A48" s="43" t="s">
        <v>73</v>
      </c>
      <c r="B48" s="13">
        <v>1.0</v>
      </c>
      <c r="C48" s="58">
        <f>500*12</f>
        <v>6000</v>
      </c>
      <c r="D48" s="59">
        <f t="shared" si="4"/>
        <v>6000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>
      <c r="A49" s="34" t="s">
        <v>47</v>
      </c>
      <c r="B49" s="17"/>
      <c r="C49" s="18"/>
      <c r="D49" s="41">
        <f>sum(D40:D48)</f>
        <v>199905.6604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>
      <c r="A50" s="42"/>
      <c r="B50" s="4"/>
      <c r="D50" s="55"/>
    </row>
    <row r="51">
      <c r="A51" s="34" t="s">
        <v>48</v>
      </c>
      <c r="B51" s="17"/>
      <c r="C51" s="18"/>
      <c r="D51" s="41">
        <f>D37-D49</f>
        <v>416892.5283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>
      <c r="A52" s="36" t="s">
        <v>49</v>
      </c>
      <c r="B52" s="4"/>
      <c r="D52" s="35">
        <v>0.0</v>
      </c>
    </row>
    <row r="53">
      <c r="A53" s="34" t="s">
        <v>50</v>
      </c>
      <c r="B53" s="17"/>
      <c r="C53" s="18"/>
      <c r="D53" s="41">
        <f>D51-D52</f>
        <v>416892.5283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>
      <c r="A54" s="36" t="s">
        <v>74</v>
      </c>
      <c r="B54" s="4"/>
      <c r="D54" s="35">
        <f>' P&amp;L 2027'!D57</f>
        <v>158821.434</v>
      </c>
    </row>
    <row r="55">
      <c r="A55" s="43" t="s">
        <v>51</v>
      </c>
      <c r="B55" s="15"/>
      <c r="C55" s="11"/>
      <c r="D55" s="63">
        <f>MAX(0,D53+ MIN(0,D54))*20%</f>
        <v>83378.50566</v>
      </c>
    </row>
    <row r="56">
      <c r="A56" s="45" t="s">
        <v>52</v>
      </c>
      <c r="B56" s="64"/>
      <c r="C56" s="65"/>
      <c r="D56" s="66">
        <f>D53-D55</f>
        <v>333514.0226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>
      <c r="A57" s="67" t="s">
        <v>75</v>
      </c>
      <c r="B57" s="68"/>
      <c r="C57" s="69"/>
      <c r="D57" s="70">
        <f>D54+D56</f>
        <v>492335.4566</v>
      </c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</row>
    <row r="58">
      <c r="B58" s="4"/>
    </row>
    <row r="59">
      <c r="B59" s="4"/>
    </row>
    <row r="60">
      <c r="B60" s="4"/>
    </row>
    <row r="61">
      <c r="A61" s="28"/>
      <c r="B61" s="2"/>
      <c r="C61" s="10"/>
      <c r="D61" s="10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  <row r="1001">
      <c r="B1001" s="4"/>
    </row>
    <row r="1002">
      <c r="B1002" s="4"/>
    </row>
    <row r="1003">
      <c r="B1003" s="4"/>
    </row>
    <row r="1004">
      <c r="B1004" s="4"/>
    </row>
    <row r="1005">
      <c r="B1005" s="4"/>
    </row>
    <row r="1006">
      <c r="B1006" s="4"/>
    </row>
    <row r="1007">
      <c r="B1007" s="4"/>
    </row>
    <row r="1008">
      <c r="B1008" s="4"/>
    </row>
    <row r="1009">
      <c r="B1009" s="4"/>
    </row>
    <row r="1010">
      <c r="B1010" s="4"/>
    </row>
    <row r="1011">
      <c r="B1011" s="4"/>
    </row>
    <row r="1012">
      <c r="B1012" s="4"/>
    </row>
    <row r="1013">
      <c r="B1013" s="4"/>
    </row>
    <row r="1014">
      <c r="B1014" s="4"/>
    </row>
    <row r="1015">
      <c r="B1015" s="4"/>
    </row>
    <row r="1016">
      <c r="B1016" s="4"/>
    </row>
    <row r="1017">
      <c r="B1017" s="4"/>
    </row>
    <row r="1018">
      <c r="B1018" s="4"/>
    </row>
    <row r="1019">
      <c r="B1019" s="4"/>
    </row>
    <row r="1020">
      <c r="B1020" s="4"/>
    </row>
    <row r="1021">
      <c r="B1021" s="4"/>
    </row>
    <row r="1022">
      <c r="B1022" s="4"/>
    </row>
    <row r="1023">
      <c r="B1023" s="4"/>
    </row>
    <row r="1024">
      <c r="B1024" s="4"/>
    </row>
    <row r="1025">
      <c r="B1025" s="4"/>
    </row>
    <row r="1026">
      <c r="B1026" s="4"/>
    </row>
    <row r="1027">
      <c r="B1027" s="4"/>
    </row>
    <row r="1028">
      <c r="B1028" s="4"/>
    </row>
    <row r="1029">
      <c r="B1029" s="4"/>
    </row>
  </sheetData>
  <mergeCells count="2">
    <mergeCell ref="A2:D2"/>
    <mergeCell ref="A3:D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10.5"/>
    <col customWidth="1" min="3" max="3" width="13.0"/>
    <col customWidth="1" min="4" max="4" width="15.75"/>
    <col customWidth="1" min="5" max="5" width="19.63"/>
  </cols>
  <sheetData>
    <row r="1">
      <c r="A1" s="1" t="s">
        <v>0</v>
      </c>
      <c r="B1" s="2"/>
      <c r="C1" s="3"/>
      <c r="D1" s="3"/>
    </row>
    <row r="2">
      <c r="A2" s="5" t="s">
        <v>1</v>
      </c>
    </row>
    <row r="3">
      <c r="A3" s="5" t="s">
        <v>88</v>
      </c>
    </row>
    <row r="4">
      <c r="A4" s="3"/>
      <c r="B4" s="2"/>
      <c r="C4" s="3" t="s">
        <v>2</v>
      </c>
      <c r="D4" s="6" t="s">
        <v>3</v>
      </c>
    </row>
    <row r="5">
      <c r="A5" s="3"/>
      <c r="B5" s="2"/>
      <c r="C5" s="3" t="s">
        <v>4</v>
      </c>
      <c r="D5" s="2">
        <v>26500.0</v>
      </c>
    </row>
    <row r="6">
      <c r="A6" s="7"/>
      <c r="B6" s="8"/>
      <c r="C6" s="3" t="s">
        <v>5</v>
      </c>
      <c r="D6" s="2">
        <v>19000.0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7"/>
      <c r="B7" s="8"/>
      <c r="C7" s="7"/>
      <c r="D7" s="7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31" t="s">
        <v>6</v>
      </c>
      <c r="B8" s="32" t="s">
        <v>82</v>
      </c>
      <c r="C8" s="32" t="s">
        <v>8</v>
      </c>
      <c r="D8" s="33" t="s">
        <v>9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34" t="s">
        <v>58</v>
      </c>
      <c r="B9" s="2"/>
      <c r="C9" s="10"/>
      <c r="D9" s="35"/>
    </row>
    <row r="10">
      <c r="A10" s="36" t="s">
        <v>89</v>
      </c>
      <c r="B10" s="2">
        <f>'P&amp;L 2028'!B21</f>
        <v>86.4</v>
      </c>
      <c r="C10" s="10"/>
      <c r="D10" s="35"/>
    </row>
    <row r="11">
      <c r="A11" s="36" t="s">
        <v>60</v>
      </c>
      <c r="B11" s="38">
        <v>0.2</v>
      </c>
      <c r="C11" s="10"/>
      <c r="D11" s="35"/>
    </row>
    <row r="12">
      <c r="A12" s="40" t="s">
        <v>61</v>
      </c>
      <c r="B12" s="2">
        <v>5000.0</v>
      </c>
      <c r="C12" s="10"/>
      <c r="D12" s="35"/>
    </row>
    <row r="13">
      <c r="A13" s="36" t="s">
        <v>33</v>
      </c>
      <c r="B13" s="2">
        <v>1.0</v>
      </c>
      <c r="C13" s="10"/>
      <c r="D13" s="35"/>
    </row>
    <row r="14">
      <c r="A14" s="36" t="s">
        <v>62</v>
      </c>
      <c r="B14" s="2">
        <v>1.0</v>
      </c>
      <c r="C14" s="10"/>
      <c r="D14" s="35"/>
    </row>
    <row r="15">
      <c r="A15" s="36" t="s">
        <v>63</v>
      </c>
      <c r="B15" s="2">
        <v>1.0</v>
      </c>
      <c r="C15" s="10"/>
      <c r="D15" s="35"/>
    </row>
    <row r="16">
      <c r="A16" s="36" t="s">
        <v>64</v>
      </c>
      <c r="B16" s="2">
        <v>1.0</v>
      </c>
      <c r="C16" s="10"/>
      <c r="D16" s="35"/>
    </row>
    <row r="17">
      <c r="A17" s="40" t="s">
        <v>65</v>
      </c>
      <c r="B17" s="38">
        <v>0.1</v>
      </c>
      <c r="C17" s="10"/>
      <c r="D17" s="35"/>
    </row>
    <row r="18">
      <c r="A18" s="36" t="s">
        <v>24</v>
      </c>
      <c r="B18" s="2">
        <v>2500.0</v>
      </c>
      <c r="D18" s="55"/>
    </row>
    <row r="19">
      <c r="A19" s="42"/>
      <c r="D19" s="55"/>
    </row>
    <row r="20">
      <c r="A20" s="34" t="s">
        <v>66</v>
      </c>
      <c r="B20" s="2"/>
      <c r="C20" s="10"/>
      <c r="D20" s="35"/>
    </row>
    <row r="21">
      <c r="A21" s="36" t="s">
        <v>67</v>
      </c>
      <c r="B21" s="2">
        <f>B10+B10*B11</f>
        <v>103.68</v>
      </c>
      <c r="C21" s="10">
        <v>4000.0</v>
      </c>
      <c r="D21" s="35">
        <f t="shared" ref="D21:D24" si="1">B21*C21</f>
        <v>414720</v>
      </c>
    </row>
    <row r="22">
      <c r="A22" s="36" t="s">
        <v>68</v>
      </c>
      <c r="B22" s="2">
        <f>B21</f>
        <v>103.68</v>
      </c>
      <c r="C22" s="10">
        <f>(B12*D6)/D5</f>
        <v>3584.90566</v>
      </c>
      <c r="D22" s="35">
        <f t="shared" si="1"/>
        <v>371683.0189</v>
      </c>
    </row>
    <row r="23">
      <c r="A23" s="36" t="s">
        <v>15</v>
      </c>
      <c r="B23" s="2">
        <f>B21</f>
        <v>103.68</v>
      </c>
      <c r="C23" s="10">
        <f>2000</f>
        <v>2000</v>
      </c>
      <c r="D23" s="35">
        <f t="shared" si="1"/>
        <v>207360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36" t="s">
        <v>69</v>
      </c>
      <c r="B24" s="2">
        <f>B21</f>
        <v>103.68</v>
      </c>
      <c r="C24" s="10">
        <f>700</f>
        <v>700</v>
      </c>
      <c r="D24" s="35">
        <f t="shared" si="1"/>
        <v>72576</v>
      </c>
      <c r="E24" s="12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34" t="s">
        <v>20</v>
      </c>
      <c r="B25" s="17"/>
      <c r="C25" s="18"/>
      <c r="D25" s="41">
        <f>SUM(D21:D24)</f>
        <v>1066339.019</v>
      </c>
      <c r="E25" s="16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>
      <c r="A26" s="42"/>
      <c r="B26" s="4"/>
      <c r="D26" s="55"/>
    </row>
    <row r="27">
      <c r="A27" s="34" t="s">
        <v>22</v>
      </c>
      <c r="B27" s="21"/>
      <c r="C27" s="22"/>
      <c r="D27" s="56"/>
      <c r="E27" s="22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>
      <c r="A28" s="43" t="s">
        <v>17</v>
      </c>
      <c r="B28" s="13">
        <f>B21</f>
        <v>103.68</v>
      </c>
      <c r="C28" s="14">
        <f>C22*10%</f>
        <v>358.490566</v>
      </c>
      <c r="D28" s="44">
        <f t="shared" ref="D28:D29" si="2">B28*C28</f>
        <v>37168.30189</v>
      </c>
      <c r="E28" s="12"/>
      <c r="F28" s="12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36" t="s">
        <v>23</v>
      </c>
      <c r="B29" s="2">
        <f>B21</f>
        <v>103.68</v>
      </c>
      <c r="C29" s="23">
        <f>(C21-(B18*D6)/D5)</f>
        <v>2207.54717</v>
      </c>
      <c r="D29" s="57">
        <f t="shared" si="2"/>
        <v>228878.4906</v>
      </c>
      <c r="E29" s="25"/>
    </row>
    <row r="30">
      <c r="A30" s="36" t="s">
        <v>25</v>
      </c>
      <c r="B30" s="26">
        <v>0.0</v>
      </c>
      <c r="C30" s="23">
        <v>0.0</v>
      </c>
      <c r="D30" s="57">
        <v>0.0</v>
      </c>
      <c r="E30" s="27"/>
    </row>
    <row r="31">
      <c r="A31" s="40" t="s">
        <v>26</v>
      </c>
      <c r="B31" s="2">
        <f>B21</f>
        <v>103.68</v>
      </c>
      <c r="C31" s="23">
        <v>500.0</v>
      </c>
      <c r="D31" s="57">
        <f>B31*C31</f>
        <v>51840</v>
      </c>
      <c r="E31" s="27"/>
    </row>
    <row r="32">
      <c r="A32" s="36" t="s">
        <v>27</v>
      </c>
      <c r="B32" s="26">
        <v>0.0</v>
      </c>
      <c r="C32" s="23">
        <v>0.0</v>
      </c>
      <c r="D32" s="57">
        <v>0.0</v>
      </c>
      <c r="E32" s="27"/>
    </row>
    <row r="33">
      <c r="A33" s="36" t="s">
        <v>28</v>
      </c>
      <c r="B33" s="26">
        <v>0.0</v>
      </c>
      <c r="C33" s="23">
        <v>0.0</v>
      </c>
      <c r="D33" s="57">
        <v>0.0</v>
      </c>
      <c r="E33" s="28"/>
    </row>
    <row r="34">
      <c r="A34" s="43" t="s">
        <v>70</v>
      </c>
      <c r="B34" s="13">
        <f>B21</f>
        <v>103.68</v>
      </c>
      <c r="C34" s="58">
        <v>80.0</v>
      </c>
      <c r="D34" s="59">
        <f>B34*C34</f>
        <v>8294.4</v>
      </c>
      <c r="E34" s="6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>
      <c r="A35" s="36" t="s">
        <v>29</v>
      </c>
      <c r="B35" s="2">
        <v>0.0</v>
      </c>
      <c r="C35" s="23">
        <v>0.0</v>
      </c>
      <c r="D35" s="57">
        <v>0.0</v>
      </c>
      <c r="E35" s="28" t="s">
        <v>71</v>
      </c>
    </row>
    <row r="36">
      <c r="A36" s="34" t="s">
        <v>30</v>
      </c>
      <c r="B36" s="20"/>
      <c r="C36" s="19"/>
      <c r="D36" s="61">
        <f>sum(D28:D35)</f>
        <v>326181.1925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>
      <c r="A37" s="34" t="s">
        <v>31</v>
      </c>
      <c r="B37" s="17"/>
      <c r="C37" s="18"/>
      <c r="D37" s="41">
        <f>D25-D36</f>
        <v>740157.8264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>
      <c r="A38" s="42"/>
      <c r="B38" s="4"/>
      <c r="D38" s="55"/>
    </row>
    <row r="39">
      <c r="A39" s="34" t="s">
        <v>32</v>
      </c>
      <c r="B39" s="17"/>
      <c r="C39" s="18"/>
      <c r="D39" s="62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>
      <c r="A40" s="36" t="s">
        <v>33</v>
      </c>
      <c r="B40" s="25">
        <v>1.0</v>
      </c>
      <c r="C40" s="23">
        <f>10000*12</f>
        <v>120000</v>
      </c>
      <c r="D40" s="57">
        <f t="shared" ref="D40:D41" si="3">B40*C40</f>
        <v>120000</v>
      </c>
    </row>
    <row r="41" ht="18.0" customHeight="1">
      <c r="A41" s="36" t="s">
        <v>35</v>
      </c>
      <c r="B41" s="26">
        <v>1.0</v>
      </c>
      <c r="C41" s="23">
        <f>'P&amp;L 2028'!D41+'P&amp;L 2028'!D41*B17</f>
        <v>20775.4717</v>
      </c>
      <c r="D41" s="57">
        <f t="shared" si="3"/>
        <v>20775.4717</v>
      </c>
    </row>
    <row r="42">
      <c r="A42" s="36" t="s">
        <v>36</v>
      </c>
      <c r="B42" s="26">
        <v>0.0</v>
      </c>
      <c r="C42" s="23">
        <v>0.0</v>
      </c>
      <c r="D42" s="57">
        <v>0.0</v>
      </c>
    </row>
    <row r="43">
      <c r="A43" s="36" t="s">
        <v>37</v>
      </c>
      <c r="B43" s="26">
        <v>1.0</v>
      </c>
      <c r="C43" s="23">
        <f>1000*12</f>
        <v>12000</v>
      </c>
      <c r="D43" s="57">
        <f t="shared" ref="D43:D48" si="4">B43*C43</f>
        <v>12000</v>
      </c>
    </row>
    <row r="44">
      <c r="A44" s="36" t="s">
        <v>38</v>
      </c>
      <c r="B44" s="26">
        <v>1.0</v>
      </c>
      <c r="C44" s="23">
        <f>10000000*12/D5</f>
        <v>4528.301887</v>
      </c>
      <c r="D44" s="57">
        <f t="shared" si="4"/>
        <v>4528.301887</v>
      </c>
    </row>
    <row r="45">
      <c r="A45" s="36" t="s">
        <v>64</v>
      </c>
      <c r="B45" s="25">
        <v>1.0</v>
      </c>
      <c r="C45" s="23">
        <f>'P&amp;L 2028'!D45+'P&amp;L 2028'!D45*B17</f>
        <v>5396.226415</v>
      </c>
      <c r="D45" s="57">
        <f t="shared" si="4"/>
        <v>5396.226415</v>
      </c>
    </row>
    <row r="46">
      <c r="A46" s="36" t="s">
        <v>42</v>
      </c>
      <c r="B46" s="26">
        <v>1.0</v>
      </c>
      <c r="C46" s="23">
        <f>'P&amp;L 2028'!D46+'P&amp;L 2028'!D46*B17</f>
        <v>23743.39623</v>
      </c>
      <c r="D46" s="57">
        <f t="shared" si="4"/>
        <v>23743.39623</v>
      </c>
    </row>
    <row r="47">
      <c r="A47" s="36" t="s">
        <v>72</v>
      </c>
      <c r="B47" s="2">
        <v>1.0</v>
      </c>
      <c r="C47" s="23">
        <f>1000*12</f>
        <v>12000</v>
      </c>
      <c r="D47" s="57">
        <f t="shared" si="4"/>
        <v>12000</v>
      </c>
    </row>
    <row r="48">
      <c r="A48" s="43" t="s">
        <v>73</v>
      </c>
      <c r="B48" s="13">
        <v>1.0</v>
      </c>
      <c r="C48" s="58">
        <f>500*12</f>
        <v>6000</v>
      </c>
      <c r="D48" s="59">
        <f t="shared" si="4"/>
        <v>6000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>
      <c r="A49" s="34" t="s">
        <v>47</v>
      </c>
      <c r="B49" s="17"/>
      <c r="C49" s="18"/>
      <c r="D49" s="41">
        <f>sum(D40:D48)</f>
        <v>204443.3962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>
      <c r="A50" s="42"/>
      <c r="B50" s="4"/>
      <c r="D50" s="55"/>
    </row>
    <row r="51">
      <c r="A51" s="34" t="s">
        <v>48</v>
      </c>
      <c r="B51" s="17"/>
      <c r="C51" s="18"/>
      <c r="D51" s="41">
        <f>D37-D49</f>
        <v>535714.4302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>
      <c r="A52" s="36" t="s">
        <v>49</v>
      </c>
      <c r="B52" s="4"/>
      <c r="D52" s="35">
        <v>0.0</v>
      </c>
    </row>
    <row r="53">
      <c r="A53" s="34" t="s">
        <v>50</v>
      </c>
      <c r="B53" s="17"/>
      <c r="C53" s="18"/>
      <c r="D53" s="41">
        <f>D51-D52</f>
        <v>535714.4302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>
      <c r="A54" s="36" t="s">
        <v>74</v>
      </c>
      <c r="B54" s="4"/>
      <c r="D54" s="35">
        <f>'P&amp;L 2028'!D57</f>
        <v>492335.4566</v>
      </c>
    </row>
    <row r="55">
      <c r="A55" s="43" t="s">
        <v>51</v>
      </c>
      <c r="B55" s="15"/>
      <c r="C55" s="11"/>
      <c r="D55" s="63">
        <f>MAX(0,D53+ MIN(0,D54))*20%</f>
        <v>107142.886</v>
      </c>
    </row>
    <row r="56">
      <c r="A56" s="45" t="s">
        <v>52</v>
      </c>
      <c r="B56" s="64"/>
      <c r="C56" s="65"/>
      <c r="D56" s="66">
        <f>D53-D55</f>
        <v>428571.5442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>
      <c r="A57" s="67" t="s">
        <v>75</v>
      </c>
      <c r="B57" s="68"/>
      <c r="C57" s="69"/>
      <c r="D57" s="70">
        <f>D54+D56</f>
        <v>920907.0008</v>
      </c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</row>
    <row r="58">
      <c r="B58" s="4"/>
    </row>
    <row r="59">
      <c r="B59" s="4"/>
    </row>
    <row r="60">
      <c r="B60" s="4"/>
    </row>
    <row r="61">
      <c r="A61" s="28"/>
      <c r="B61" s="2"/>
      <c r="C61" s="10"/>
      <c r="D61" s="10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  <row r="1001">
      <c r="B1001" s="4"/>
    </row>
    <row r="1002">
      <c r="B1002" s="4"/>
    </row>
    <row r="1003">
      <c r="B1003" s="4"/>
    </row>
    <row r="1004">
      <c r="B1004" s="4"/>
    </row>
    <row r="1005">
      <c r="B1005" s="4"/>
    </row>
    <row r="1006">
      <c r="B1006" s="4"/>
    </row>
    <row r="1007">
      <c r="B1007" s="4"/>
    </row>
    <row r="1008">
      <c r="B1008" s="4"/>
    </row>
    <row r="1009">
      <c r="B1009" s="4"/>
    </row>
    <row r="1010">
      <c r="B1010" s="4"/>
    </row>
    <row r="1011">
      <c r="B1011" s="4"/>
    </row>
    <row r="1012">
      <c r="B1012" s="4"/>
    </row>
    <row r="1013">
      <c r="B1013" s="4"/>
    </row>
    <row r="1014">
      <c r="B1014" s="4"/>
    </row>
    <row r="1015">
      <c r="B1015" s="4"/>
    </row>
    <row r="1016">
      <c r="B1016" s="4"/>
    </row>
    <row r="1017">
      <c r="B1017" s="4"/>
    </row>
    <row r="1018">
      <c r="B1018" s="4"/>
    </row>
    <row r="1019">
      <c r="B1019" s="4"/>
    </row>
    <row r="1020">
      <c r="B1020" s="4"/>
    </row>
    <row r="1021">
      <c r="B1021" s="4"/>
    </row>
    <row r="1022">
      <c r="B1022" s="4"/>
    </row>
    <row r="1023">
      <c r="B1023" s="4"/>
    </row>
    <row r="1024">
      <c r="B1024" s="4"/>
    </row>
    <row r="1025">
      <c r="B1025" s="4"/>
    </row>
    <row r="1026">
      <c r="B1026" s="4"/>
    </row>
    <row r="1027">
      <c r="B1027" s="4"/>
    </row>
    <row r="1028">
      <c r="B1028" s="4"/>
    </row>
    <row r="1029">
      <c r="B1029" s="4"/>
    </row>
  </sheetData>
  <mergeCells count="2">
    <mergeCell ref="A2:D2"/>
    <mergeCell ref="A3:D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7.88"/>
    <col customWidth="1" min="3" max="3" width="7.13"/>
    <col customWidth="1" min="4" max="14" width="12.13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</row>
    <row r="2">
      <c r="A2" s="5" t="s">
        <v>1</v>
      </c>
    </row>
    <row r="3">
      <c r="A3" s="5" t="s">
        <v>81</v>
      </c>
    </row>
    <row r="4">
      <c r="A4" s="3"/>
      <c r="B4" s="2"/>
      <c r="C4" s="3"/>
      <c r="D4" s="3"/>
      <c r="E4" s="3"/>
      <c r="F4" s="3"/>
      <c r="G4" s="3"/>
      <c r="H4" s="3"/>
      <c r="I4" s="3"/>
      <c r="J4" s="3"/>
      <c r="K4" s="3"/>
      <c r="L4" s="6" t="s">
        <v>3</v>
      </c>
    </row>
    <row r="5">
      <c r="A5" s="3"/>
      <c r="B5" s="2"/>
      <c r="C5" s="3"/>
      <c r="D5" s="3"/>
      <c r="E5" s="3"/>
      <c r="F5" s="3"/>
      <c r="G5" s="3"/>
      <c r="H5" s="3"/>
      <c r="I5" s="3"/>
      <c r="J5" s="3"/>
      <c r="K5" s="3"/>
      <c r="L5" s="2">
        <v>26500.0</v>
      </c>
    </row>
    <row r="6">
      <c r="A6" s="7"/>
      <c r="B6" s="8"/>
      <c r="C6" s="3"/>
      <c r="D6" s="3"/>
      <c r="E6" s="3"/>
      <c r="F6" s="3"/>
      <c r="G6" s="3"/>
      <c r="H6" s="3"/>
      <c r="I6" s="3"/>
      <c r="J6" s="3"/>
      <c r="K6" s="3"/>
      <c r="L6" s="2">
        <v>19000.0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>
      <c r="A7" s="7"/>
      <c r="B7" s="8"/>
      <c r="C7" s="7"/>
      <c r="D7" s="7"/>
      <c r="E7" s="7"/>
      <c r="F7" s="7"/>
      <c r="G7" s="7"/>
      <c r="H7" s="7"/>
      <c r="I7" s="7"/>
      <c r="J7" s="7"/>
      <c r="K7" s="7"/>
      <c r="L7" s="7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>
      <c r="A8" s="31" t="s">
        <v>6</v>
      </c>
      <c r="B8" s="32" t="s">
        <v>82</v>
      </c>
      <c r="C8" s="32" t="s">
        <v>8</v>
      </c>
      <c r="D8" s="32" t="s">
        <v>90</v>
      </c>
      <c r="E8" s="32" t="s">
        <v>91</v>
      </c>
      <c r="F8" s="32" t="s">
        <v>92</v>
      </c>
      <c r="G8" s="32" t="s">
        <v>93</v>
      </c>
      <c r="H8" s="32" t="s">
        <v>94</v>
      </c>
      <c r="I8" s="32" t="s">
        <v>95</v>
      </c>
      <c r="J8" s="32" t="s">
        <v>96</v>
      </c>
      <c r="K8" s="32" t="s">
        <v>97</v>
      </c>
      <c r="L8" s="33" t="s">
        <v>9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>
      <c r="A9" s="34" t="s">
        <v>58</v>
      </c>
      <c r="B9" s="2"/>
      <c r="C9" s="10"/>
      <c r="D9" s="10"/>
      <c r="E9" s="10"/>
      <c r="F9" s="10"/>
      <c r="G9" s="10"/>
      <c r="H9" s="10"/>
      <c r="I9" s="10"/>
      <c r="J9" s="10"/>
      <c r="K9" s="10"/>
      <c r="L9" s="35"/>
    </row>
    <row r="10">
      <c r="A10" s="36" t="s">
        <v>83</v>
      </c>
      <c r="B10" s="2">
        <v>0.0</v>
      </c>
      <c r="C10" s="10"/>
      <c r="D10" s="10"/>
      <c r="E10" s="10"/>
      <c r="F10" s="10"/>
      <c r="G10" s="10"/>
      <c r="H10" s="10"/>
      <c r="I10" s="10"/>
      <c r="J10" s="10"/>
      <c r="K10" s="10"/>
      <c r="L10" s="35"/>
    </row>
    <row r="11">
      <c r="A11" s="36" t="s">
        <v>60</v>
      </c>
      <c r="B11" s="38">
        <v>0.2</v>
      </c>
      <c r="C11" s="10"/>
      <c r="D11" s="10"/>
      <c r="E11" s="10"/>
      <c r="F11" s="10"/>
      <c r="G11" s="10"/>
      <c r="H11" s="10"/>
      <c r="I11" s="10"/>
      <c r="J11" s="10"/>
      <c r="K11" s="10"/>
      <c r="L11" s="35"/>
    </row>
    <row r="12">
      <c r="A12" s="40" t="s">
        <v>61</v>
      </c>
      <c r="B12" s="2">
        <v>5000.0</v>
      </c>
      <c r="C12" s="10"/>
      <c r="D12" s="10"/>
      <c r="E12" s="10"/>
      <c r="F12" s="10"/>
      <c r="G12" s="10"/>
      <c r="H12" s="10"/>
      <c r="I12" s="10"/>
      <c r="J12" s="10"/>
      <c r="K12" s="10"/>
      <c r="L12" s="35"/>
    </row>
    <row r="13">
      <c r="A13" s="36" t="s">
        <v>33</v>
      </c>
      <c r="B13" s="2">
        <v>1.0</v>
      </c>
      <c r="C13" s="10"/>
      <c r="D13" s="10"/>
      <c r="E13" s="10"/>
      <c r="F13" s="10"/>
      <c r="G13" s="10"/>
      <c r="H13" s="10"/>
      <c r="I13" s="10"/>
      <c r="J13" s="10"/>
      <c r="K13" s="10"/>
      <c r="L13" s="35"/>
    </row>
    <row r="14">
      <c r="A14" s="36" t="s">
        <v>62</v>
      </c>
      <c r="B14" s="2">
        <v>1.0</v>
      </c>
      <c r="C14" s="10"/>
      <c r="D14" s="10"/>
      <c r="E14" s="10"/>
      <c r="F14" s="10"/>
      <c r="G14" s="10"/>
      <c r="H14" s="10"/>
      <c r="I14" s="10"/>
      <c r="J14" s="10"/>
      <c r="K14" s="10"/>
      <c r="L14" s="35"/>
    </row>
    <row r="15">
      <c r="A15" s="36" t="s">
        <v>63</v>
      </c>
      <c r="B15" s="2">
        <v>1.0</v>
      </c>
      <c r="C15" s="10"/>
      <c r="D15" s="10"/>
      <c r="E15" s="10"/>
      <c r="F15" s="10"/>
      <c r="G15" s="10"/>
      <c r="H15" s="10"/>
      <c r="I15" s="10"/>
      <c r="J15" s="10"/>
      <c r="K15" s="10"/>
      <c r="L15" s="35"/>
    </row>
    <row r="16">
      <c r="A16" s="36" t="s">
        <v>64</v>
      </c>
      <c r="B16" s="2">
        <v>0.0</v>
      </c>
      <c r="C16" s="10"/>
      <c r="D16" s="10"/>
      <c r="E16" s="10"/>
      <c r="F16" s="10"/>
      <c r="G16" s="10"/>
      <c r="H16" s="10"/>
      <c r="I16" s="10"/>
      <c r="J16" s="10"/>
      <c r="K16" s="10"/>
      <c r="L16" s="35"/>
    </row>
    <row r="17">
      <c r="A17" s="40" t="s">
        <v>98</v>
      </c>
      <c r="B17" s="38">
        <v>0.1</v>
      </c>
      <c r="C17" s="10"/>
      <c r="D17" s="10"/>
      <c r="E17" s="10"/>
      <c r="F17" s="10"/>
      <c r="G17" s="10"/>
      <c r="H17" s="10"/>
      <c r="I17" s="10"/>
      <c r="J17" s="10"/>
      <c r="K17" s="10"/>
      <c r="L17" s="35"/>
    </row>
    <row r="18">
      <c r="A18" s="36" t="s">
        <v>24</v>
      </c>
      <c r="B18" s="2">
        <v>2500.0</v>
      </c>
      <c r="L18" s="55"/>
    </row>
    <row r="19">
      <c r="A19" s="42"/>
      <c r="L19" s="55"/>
    </row>
    <row r="20">
      <c r="A20" s="34" t="s">
        <v>66</v>
      </c>
      <c r="B20" s="2"/>
      <c r="C20" s="10"/>
      <c r="D20" s="10"/>
      <c r="E20" s="10"/>
      <c r="F20" s="10"/>
      <c r="G20" s="10"/>
      <c r="H20" s="10"/>
      <c r="I20" s="10"/>
      <c r="J20" s="10"/>
      <c r="K20" s="10"/>
      <c r="L20" s="35"/>
    </row>
    <row r="21">
      <c r="A21" s="36" t="s">
        <v>67</v>
      </c>
      <c r="B21" s="2">
        <v>0.0</v>
      </c>
      <c r="C21" s="10">
        <v>4000.0</v>
      </c>
      <c r="D21" s="10">
        <v>0.0</v>
      </c>
      <c r="E21" s="10">
        <v>0.0</v>
      </c>
      <c r="F21" s="10">
        <v>0.0</v>
      </c>
      <c r="G21" s="10">
        <v>0.0</v>
      </c>
      <c r="H21" s="10">
        <v>0.0</v>
      </c>
      <c r="I21" s="10">
        <v>0.0</v>
      </c>
      <c r="J21" s="10">
        <v>0.0</v>
      </c>
      <c r="K21" s="10">
        <v>0.0</v>
      </c>
      <c r="L21" s="35">
        <f t="shared" ref="L21:L24" si="1">SUM(D21:K21)</f>
        <v>0</v>
      </c>
    </row>
    <row r="22">
      <c r="A22" s="36" t="s">
        <v>68</v>
      </c>
      <c r="B22" s="2">
        <v>0.0</v>
      </c>
      <c r="C22" s="10">
        <f>(B12*L6)/L5</f>
        <v>3584.90566</v>
      </c>
      <c r="D22" s="10">
        <v>0.0</v>
      </c>
      <c r="E22" s="10">
        <v>0.0</v>
      </c>
      <c r="F22" s="10">
        <v>0.0</v>
      </c>
      <c r="G22" s="10">
        <v>0.0</v>
      </c>
      <c r="H22" s="10">
        <v>0.0</v>
      </c>
      <c r="I22" s="10">
        <v>0.0</v>
      </c>
      <c r="J22" s="10">
        <v>0.0</v>
      </c>
      <c r="K22" s="10">
        <v>0.0</v>
      </c>
      <c r="L22" s="35">
        <f t="shared" si="1"/>
        <v>0</v>
      </c>
    </row>
    <row r="23">
      <c r="A23" s="36" t="s">
        <v>15</v>
      </c>
      <c r="B23" s="2">
        <v>0.0</v>
      </c>
      <c r="C23" s="10">
        <f>2000</f>
        <v>2000</v>
      </c>
      <c r="D23" s="10">
        <v>0.0</v>
      </c>
      <c r="E23" s="10">
        <v>0.0</v>
      </c>
      <c r="F23" s="10">
        <v>0.0</v>
      </c>
      <c r="G23" s="10">
        <v>0.0</v>
      </c>
      <c r="H23" s="10">
        <v>0.0</v>
      </c>
      <c r="I23" s="10">
        <v>0.0</v>
      </c>
      <c r="J23" s="10">
        <v>0.0</v>
      </c>
      <c r="K23" s="10">
        <v>0.0</v>
      </c>
      <c r="L23" s="35">
        <f t="shared" si="1"/>
        <v>0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</row>
    <row r="24">
      <c r="A24" s="36" t="s">
        <v>69</v>
      </c>
      <c r="B24" s="2">
        <v>0.0</v>
      </c>
      <c r="C24" s="10">
        <f>700</f>
        <v>700</v>
      </c>
      <c r="D24" s="10">
        <v>0.0</v>
      </c>
      <c r="E24" s="10">
        <v>0.0</v>
      </c>
      <c r="F24" s="10">
        <v>0.0</v>
      </c>
      <c r="G24" s="10">
        <v>0.0</v>
      </c>
      <c r="H24" s="10">
        <v>0.0</v>
      </c>
      <c r="I24" s="10">
        <v>0.0</v>
      </c>
      <c r="J24" s="10">
        <v>0.0</v>
      </c>
      <c r="K24" s="10">
        <v>0.0</v>
      </c>
      <c r="L24" s="35">
        <f t="shared" si="1"/>
        <v>0</v>
      </c>
      <c r="M24" s="12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</row>
    <row r="25">
      <c r="A25" s="34" t="s">
        <v>20</v>
      </c>
      <c r="B25" s="17"/>
      <c r="C25" s="18"/>
      <c r="D25" s="73">
        <f t="shared" ref="D25:L25" si="2">SUM(D21:D24)</f>
        <v>0</v>
      </c>
      <c r="E25" s="73">
        <f t="shared" si="2"/>
        <v>0</v>
      </c>
      <c r="F25" s="73">
        <f t="shared" si="2"/>
        <v>0</v>
      </c>
      <c r="G25" s="73">
        <f t="shared" si="2"/>
        <v>0</v>
      </c>
      <c r="H25" s="73">
        <f t="shared" si="2"/>
        <v>0</v>
      </c>
      <c r="I25" s="73">
        <f t="shared" si="2"/>
        <v>0</v>
      </c>
      <c r="J25" s="73">
        <f t="shared" si="2"/>
        <v>0</v>
      </c>
      <c r="K25" s="73">
        <f t="shared" si="2"/>
        <v>0</v>
      </c>
      <c r="L25" s="41">
        <f t="shared" si="2"/>
        <v>0</v>
      </c>
      <c r="M25" s="16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>
      <c r="A26" s="42"/>
      <c r="B26" s="4"/>
      <c r="L26" s="55"/>
    </row>
    <row r="27">
      <c r="A27" s="34" t="s">
        <v>22</v>
      </c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56"/>
      <c r="M27" s="22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>
      <c r="A28" s="43" t="s">
        <v>17</v>
      </c>
      <c r="B28" s="13">
        <v>0.0</v>
      </c>
      <c r="C28" s="14">
        <f>C22*10%</f>
        <v>358.490566</v>
      </c>
      <c r="D28" s="14">
        <v>0.0</v>
      </c>
      <c r="E28" s="14">
        <v>0.0</v>
      </c>
      <c r="F28" s="14">
        <v>0.0</v>
      </c>
      <c r="G28" s="14">
        <v>0.0</v>
      </c>
      <c r="H28" s="14">
        <v>0.0</v>
      </c>
      <c r="I28" s="14">
        <v>0.0</v>
      </c>
      <c r="J28" s="14">
        <v>0.0</v>
      </c>
      <c r="K28" s="14">
        <v>0.0</v>
      </c>
      <c r="L28" s="35">
        <f t="shared" ref="L28:L35" si="3">SUM(D28:K28)</f>
        <v>0</v>
      </c>
      <c r="M28" s="12"/>
      <c r="N28" s="12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>
      <c r="A29" s="36" t="s">
        <v>23</v>
      </c>
      <c r="B29" s="2">
        <v>0.0</v>
      </c>
      <c r="C29" s="23">
        <f>(C21-(B18*L6)/L5)</f>
        <v>2207.54717</v>
      </c>
      <c r="D29" s="23">
        <v>0.0</v>
      </c>
      <c r="E29" s="23">
        <v>0.0</v>
      </c>
      <c r="F29" s="23">
        <v>0.0</v>
      </c>
      <c r="G29" s="23">
        <v>0.0</v>
      </c>
      <c r="H29" s="23">
        <v>0.0</v>
      </c>
      <c r="I29" s="23">
        <v>0.0</v>
      </c>
      <c r="J29" s="23">
        <v>0.0</v>
      </c>
      <c r="K29" s="23">
        <v>0.0</v>
      </c>
      <c r="L29" s="57">
        <f t="shared" si="3"/>
        <v>0</v>
      </c>
      <c r="M29" s="25"/>
    </row>
    <row r="30">
      <c r="A30" s="36" t="s">
        <v>25</v>
      </c>
      <c r="B30" s="26">
        <v>0.0</v>
      </c>
      <c r="C30" s="23">
        <v>0.0</v>
      </c>
      <c r="D30" s="23">
        <v>0.0</v>
      </c>
      <c r="E30" s="23">
        <v>0.0</v>
      </c>
      <c r="F30" s="23">
        <v>0.0</v>
      </c>
      <c r="G30" s="23">
        <v>0.0</v>
      </c>
      <c r="H30" s="23">
        <v>0.0</v>
      </c>
      <c r="I30" s="23">
        <v>0.0</v>
      </c>
      <c r="J30" s="23">
        <v>0.0</v>
      </c>
      <c r="K30" s="23">
        <v>0.0</v>
      </c>
      <c r="L30" s="57">
        <f t="shared" si="3"/>
        <v>0</v>
      </c>
      <c r="M30" s="27"/>
    </row>
    <row r="31">
      <c r="A31" s="40" t="s">
        <v>26</v>
      </c>
      <c r="B31" s="2">
        <v>0.0</v>
      </c>
      <c r="C31" s="23">
        <v>500.0</v>
      </c>
      <c r="D31" s="23">
        <v>0.0</v>
      </c>
      <c r="E31" s="23">
        <v>0.0</v>
      </c>
      <c r="F31" s="23">
        <v>0.0</v>
      </c>
      <c r="G31" s="23">
        <v>0.0</v>
      </c>
      <c r="H31" s="23">
        <v>0.0</v>
      </c>
      <c r="I31" s="23">
        <v>0.0</v>
      </c>
      <c r="J31" s="23">
        <v>0.0</v>
      </c>
      <c r="K31" s="23">
        <v>0.0</v>
      </c>
      <c r="L31" s="57">
        <f t="shared" si="3"/>
        <v>0</v>
      </c>
      <c r="M31" s="27"/>
    </row>
    <row r="32">
      <c r="A32" s="36" t="s">
        <v>27</v>
      </c>
      <c r="B32" s="26">
        <v>0.0</v>
      </c>
      <c r="C32" s="23">
        <v>0.0</v>
      </c>
      <c r="D32" s="23">
        <v>0.0</v>
      </c>
      <c r="E32" s="23">
        <v>0.0</v>
      </c>
      <c r="F32" s="23">
        <v>0.0</v>
      </c>
      <c r="G32" s="23">
        <v>0.0</v>
      </c>
      <c r="H32" s="23">
        <v>0.0</v>
      </c>
      <c r="I32" s="23">
        <v>0.0</v>
      </c>
      <c r="J32" s="23">
        <v>0.0</v>
      </c>
      <c r="K32" s="23">
        <v>0.0</v>
      </c>
      <c r="L32" s="57">
        <f t="shared" si="3"/>
        <v>0</v>
      </c>
      <c r="M32" s="27"/>
    </row>
    <row r="33">
      <c r="A33" s="36" t="s">
        <v>28</v>
      </c>
      <c r="B33" s="26">
        <v>0.0</v>
      </c>
      <c r="C33" s="23">
        <v>0.0</v>
      </c>
      <c r="D33" s="23">
        <v>0.0</v>
      </c>
      <c r="E33" s="23">
        <v>0.0</v>
      </c>
      <c r="F33" s="23">
        <v>0.0</v>
      </c>
      <c r="G33" s="23">
        <v>0.0</v>
      </c>
      <c r="H33" s="23">
        <v>0.0</v>
      </c>
      <c r="I33" s="23">
        <v>0.0</v>
      </c>
      <c r="J33" s="23">
        <v>0.0</v>
      </c>
      <c r="K33" s="23">
        <v>0.0</v>
      </c>
      <c r="L33" s="57">
        <f t="shared" si="3"/>
        <v>0</v>
      </c>
      <c r="M33" s="28"/>
    </row>
    <row r="34">
      <c r="A34" s="43" t="s">
        <v>70</v>
      </c>
      <c r="B34" s="2">
        <v>0.0</v>
      </c>
      <c r="C34" s="23">
        <v>0.0</v>
      </c>
      <c r="D34" s="23">
        <v>0.0</v>
      </c>
      <c r="E34" s="23">
        <v>0.0</v>
      </c>
      <c r="F34" s="23">
        <v>0.0</v>
      </c>
      <c r="G34" s="23">
        <v>0.0</v>
      </c>
      <c r="H34" s="23">
        <v>0.0</v>
      </c>
      <c r="I34" s="23">
        <v>0.0</v>
      </c>
      <c r="J34" s="23">
        <v>0.0</v>
      </c>
      <c r="K34" s="23">
        <v>0.0</v>
      </c>
      <c r="L34" s="57">
        <f t="shared" si="3"/>
        <v>0</v>
      </c>
      <c r="M34" s="28"/>
    </row>
    <row r="35">
      <c r="A35" s="36" t="s">
        <v>29</v>
      </c>
      <c r="B35" s="2">
        <v>0.0</v>
      </c>
      <c r="C35" s="23">
        <v>0.0</v>
      </c>
      <c r="D35" s="23">
        <v>0.0</v>
      </c>
      <c r="E35" s="23">
        <v>0.0</v>
      </c>
      <c r="F35" s="23">
        <v>0.0</v>
      </c>
      <c r="G35" s="23">
        <v>0.0</v>
      </c>
      <c r="H35" s="23">
        <v>0.0</v>
      </c>
      <c r="I35" s="23">
        <v>0.0</v>
      </c>
      <c r="J35" s="23">
        <v>0.0</v>
      </c>
      <c r="K35" s="23">
        <v>0.0</v>
      </c>
      <c r="L35" s="57">
        <f t="shared" si="3"/>
        <v>0</v>
      </c>
      <c r="M35" s="28" t="s">
        <v>99</v>
      </c>
    </row>
    <row r="36">
      <c r="A36" s="34" t="s">
        <v>30</v>
      </c>
      <c r="B36" s="20"/>
      <c r="C36" s="19"/>
      <c r="D36" s="19">
        <f t="shared" ref="D36:L36" si="4">SUM(D28:D35)</f>
        <v>0</v>
      </c>
      <c r="E36" s="19">
        <f t="shared" si="4"/>
        <v>0</v>
      </c>
      <c r="F36" s="19">
        <f t="shared" si="4"/>
        <v>0</v>
      </c>
      <c r="G36" s="19">
        <f t="shared" si="4"/>
        <v>0</v>
      </c>
      <c r="H36" s="19">
        <f t="shared" si="4"/>
        <v>0</v>
      </c>
      <c r="I36" s="19">
        <f t="shared" si="4"/>
        <v>0</v>
      </c>
      <c r="J36" s="19">
        <f t="shared" si="4"/>
        <v>0</v>
      </c>
      <c r="K36" s="19">
        <f t="shared" si="4"/>
        <v>0</v>
      </c>
      <c r="L36" s="41">
        <f t="shared" si="4"/>
        <v>0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>
      <c r="A37" s="34" t="s">
        <v>31</v>
      </c>
      <c r="B37" s="17"/>
      <c r="C37" s="18"/>
      <c r="D37" s="73">
        <f t="shared" ref="D37:L37" si="5">D25-D36</f>
        <v>0</v>
      </c>
      <c r="E37" s="73">
        <f t="shared" si="5"/>
        <v>0</v>
      </c>
      <c r="F37" s="73">
        <f t="shared" si="5"/>
        <v>0</v>
      </c>
      <c r="G37" s="73">
        <f t="shared" si="5"/>
        <v>0</v>
      </c>
      <c r="H37" s="73">
        <f t="shared" si="5"/>
        <v>0</v>
      </c>
      <c r="I37" s="73">
        <f t="shared" si="5"/>
        <v>0</v>
      </c>
      <c r="J37" s="73">
        <f t="shared" si="5"/>
        <v>0</v>
      </c>
      <c r="K37" s="73">
        <f t="shared" si="5"/>
        <v>0</v>
      </c>
      <c r="L37" s="41">
        <f t="shared" si="5"/>
        <v>0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>
      <c r="A38" s="42"/>
      <c r="B38" s="4"/>
      <c r="L38" s="55"/>
    </row>
    <row r="39">
      <c r="A39" s="34" t="s">
        <v>32</v>
      </c>
      <c r="B39" s="17"/>
      <c r="C39" s="18"/>
      <c r="D39" s="18"/>
      <c r="E39" s="18"/>
      <c r="F39" s="18"/>
      <c r="G39" s="18"/>
      <c r="H39" s="18"/>
      <c r="I39" s="18"/>
      <c r="J39" s="18"/>
      <c r="K39" s="18"/>
      <c r="L39" s="62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>
      <c r="A40" s="36" t="s">
        <v>33</v>
      </c>
      <c r="B40" s="25">
        <v>1.0</v>
      </c>
      <c r="C40" s="23">
        <v>10000.0</v>
      </c>
      <c r="D40" s="23">
        <f t="shared" ref="D40:K40" si="6">C40</f>
        <v>10000</v>
      </c>
      <c r="E40" s="23">
        <f t="shared" si="6"/>
        <v>10000</v>
      </c>
      <c r="F40" s="23">
        <f t="shared" si="6"/>
        <v>10000</v>
      </c>
      <c r="G40" s="23">
        <f t="shared" si="6"/>
        <v>10000</v>
      </c>
      <c r="H40" s="23">
        <f t="shared" si="6"/>
        <v>10000</v>
      </c>
      <c r="I40" s="23">
        <f t="shared" si="6"/>
        <v>10000</v>
      </c>
      <c r="J40" s="23">
        <f t="shared" si="6"/>
        <v>10000</v>
      </c>
      <c r="K40" s="23">
        <f t="shared" si="6"/>
        <v>10000</v>
      </c>
      <c r="L40" s="57">
        <f t="shared" ref="L40:L48" si="8">SUM(D40:K40)</f>
        <v>80000</v>
      </c>
    </row>
    <row r="41" ht="18.0" customHeight="1">
      <c r="A41" s="36" t="s">
        <v>35</v>
      </c>
      <c r="B41" s="26">
        <v>1.0</v>
      </c>
      <c r="C41" s="23">
        <f>35000000/L5</f>
        <v>1320.754717</v>
      </c>
      <c r="D41" s="23">
        <f t="shared" ref="D41:K41" si="7">C41</f>
        <v>1320.754717</v>
      </c>
      <c r="E41" s="23">
        <f t="shared" si="7"/>
        <v>1320.754717</v>
      </c>
      <c r="F41" s="23">
        <f t="shared" si="7"/>
        <v>1320.754717</v>
      </c>
      <c r="G41" s="23">
        <f t="shared" si="7"/>
        <v>1320.754717</v>
      </c>
      <c r="H41" s="23">
        <f t="shared" si="7"/>
        <v>1320.754717</v>
      </c>
      <c r="I41" s="23">
        <f t="shared" si="7"/>
        <v>1320.754717</v>
      </c>
      <c r="J41" s="23">
        <f t="shared" si="7"/>
        <v>1320.754717</v>
      </c>
      <c r="K41" s="23">
        <f t="shared" si="7"/>
        <v>1320.754717</v>
      </c>
      <c r="L41" s="57">
        <f t="shared" si="8"/>
        <v>10566.03774</v>
      </c>
    </row>
    <row r="42">
      <c r="A42" s="36" t="s">
        <v>36</v>
      </c>
      <c r="B42" s="26">
        <v>0.0</v>
      </c>
      <c r="C42" s="23">
        <v>0.0</v>
      </c>
      <c r="D42" s="23">
        <f t="shared" ref="D42:K42" si="9">C42</f>
        <v>0</v>
      </c>
      <c r="E42" s="23">
        <f t="shared" si="9"/>
        <v>0</v>
      </c>
      <c r="F42" s="23">
        <f t="shared" si="9"/>
        <v>0</v>
      </c>
      <c r="G42" s="23">
        <f t="shared" si="9"/>
        <v>0</v>
      </c>
      <c r="H42" s="23">
        <f t="shared" si="9"/>
        <v>0</v>
      </c>
      <c r="I42" s="23">
        <f t="shared" si="9"/>
        <v>0</v>
      </c>
      <c r="J42" s="23">
        <f t="shared" si="9"/>
        <v>0</v>
      </c>
      <c r="K42" s="23">
        <f t="shared" si="9"/>
        <v>0</v>
      </c>
      <c r="L42" s="57">
        <f t="shared" si="8"/>
        <v>0</v>
      </c>
    </row>
    <row r="43">
      <c r="A43" s="36" t="s">
        <v>37</v>
      </c>
      <c r="B43" s="26">
        <v>1.0</v>
      </c>
      <c r="C43" s="23">
        <f>1000</f>
        <v>1000</v>
      </c>
      <c r="D43" s="23">
        <f t="shared" ref="D43:K43" si="10">C43</f>
        <v>1000</v>
      </c>
      <c r="E43" s="23">
        <f t="shared" si="10"/>
        <v>1000</v>
      </c>
      <c r="F43" s="23">
        <f t="shared" si="10"/>
        <v>1000</v>
      </c>
      <c r="G43" s="23">
        <f t="shared" si="10"/>
        <v>1000</v>
      </c>
      <c r="H43" s="23">
        <f t="shared" si="10"/>
        <v>1000</v>
      </c>
      <c r="I43" s="23">
        <f t="shared" si="10"/>
        <v>1000</v>
      </c>
      <c r="J43" s="23">
        <f t="shared" si="10"/>
        <v>1000</v>
      </c>
      <c r="K43" s="23">
        <f t="shared" si="10"/>
        <v>1000</v>
      </c>
      <c r="L43" s="57">
        <f t="shared" si="8"/>
        <v>8000</v>
      </c>
    </row>
    <row r="44">
      <c r="A44" s="36" t="s">
        <v>38</v>
      </c>
      <c r="B44" s="26">
        <v>1.0</v>
      </c>
      <c r="C44" s="23">
        <f>5000000/L5</f>
        <v>188.6792453</v>
      </c>
      <c r="D44" s="23">
        <f t="shared" ref="D44:K44" si="11">C44</f>
        <v>188.6792453</v>
      </c>
      <c r="E44" s="23">
        <f t="shared" si="11"/>
        <v>188.6792453</v>
      </c>
      <c r="F44" s="23">
        <f t="shared" si="11"/>
        <v>188.6792453</v>
      </c>
      <c r="G44" s="23">
        <f t="shared" si="11"/>
        <v>188.6792453</v>
      </c>
      <c r="H44" s="23">
        <f t="shared" si="11"/>
        <v>188.6792453</v>
      </c>
      <c r="I44" s="23">
        <f t="shared" si="11"/>
        <v>188.6792453</v>
      </c>
      <c r="J44" s="23">
        <f t="shared" si="11"/>
        <v>188.6792453</v>
      </c>
      <c r="K44" s="23">
        <f t="shared" si="11"/>
        <v>188.6792453</v>
      </c>
      <c r="L44" s="57">
        <f t="shared" si="8"/>
        <v>1509.433962</v>
      </c>
    </row>
    <row r="45">
      <c r="A45" s="36" t="s">
        <v>40</v>
      </c>
      <c r="B45" s="25">
        <v>0.0</v>
      </c>
      <c r="C45" s="23">
        <v>0.0</v>
      </c>
      <c r="D45" s="74">
        <v>0.0</v>
      </c>
      <c r="E45" s="74">
        <v>0.0</v>
      </c>
      <c r="F45" s="74">
        <v>0.0</v>
      </c>
      <c r="G45" s="74">
        <v>0.0</v>
      </c>
      <c r="H45" s="74">
        <v>0.0</v>
      </c>
      <c r="I45" s="74">
        <v>0.0</v>
      </c>
      <c r="J45" s="74">
        <v>0.0</v>
      </c>
      <c r="K45" s="74">
        <v>0.0</v>
      </c>
      <c r="L45" s="57">
        <f t="shared" si="8"/>
        <v>0</v>
      </c>
    </row>
    <row r="46">
      <c r="A46" s="36" t="s">
        <v>42</v>
      </c>
      <c r="B46" s="26">
        <v>1.0</v>
      </c>
      <c r="C46" s="23">
        <f>40000000/L5</f>
        <v>1509.433962</v>
      </c>
      <c r="D46" s="23">
        <f t="shared" ref="D46:K46" si="12">C46</f>
        <v>1509.433962</v>
      </c>
      <c r="E46" s="23">
        <f t="shared" si="12"/>
        <v>1509.433962</v>
      </c>
      <c r="F46" s="23">
        <f t="shared" si="12"/>
        <v>1509.433962</v>
      </c>
      <c r="G46" s="23">
        <f t="shared" si="12"/>
        <v>1509.433962</v>
      </c>
      <c r="H46" s="23">
        <f t="shared" si="12"/>
        <v>1509.433962</v>
      </c>
      <c r="I46" s="23">
        <f t="shared" si="12"/>
        <v>1509.433962</v>
      </c>
      <c r="J46" s="23">
        <f t="shared" si="12"/>
        <v>1509.433962</v>
      </c>
      <c r="K46" s="23">
        <f t="shared" si="12"/>
        <v>1509.433962</v>
      </c>
      <c r="L46" s="57">
        <f t="shared" si="8"/>
        <v>12075.4717</v>
      </c>
    </row>
    <row r="47">
      <c r="A47" s="36" t="s">
        <v>72</v>
      </c>
      <c r="B47" s="2">
        <v>1.0</v>
      </c>
      <c r="C47" s="23">
        <f>1000</f>
        <v>1000</v>
      </c>
      <c r="D47" s="23">
        <f t="shared" ref="D47:K47" si="13">C47</f>
        <v>1000</v>
      </c>
      <c r="E47" s="23">
        <f t="shared" si="13"/>
        <v>1000</v>
      </c>
      <c r="F47" s="23">
        <f t="shared" si="13"/>
        <v>1000</v>
      </c>
      <c r="G47" s="23">
        <f t="shared" si="13"/>
        <v>1000</v>
      </c>
      <c r="H47" s="23">
        <f t="shared" si="13"/>
        <v>1000</v>
      </c>
      <c r="I47" s="23">
        <f t="shared" si="13"/>
        <v>1000</v>
      </c>
      <c r="J47" s="23">
        <f t="shared" si="13"/>
        <v>1000</v>
      </c>
      <c r="K47" s="23">
        <f t="shared" si="13"/>
        <v>1000</v>
      </c>
      <c r="L47" s="57">
        <f t="shared" si="8"/>
        <v>8000</v>
      </c>
    </row>
    <row r="48">
      <c r="A48" s="43" t="s">
        <v>73</v>
      </c>
      <c r="B48" s="13">
        <v>1.0</v>
      </c>
      <c r="C48" s="58">
        <f>500</f>
        <v>500</v>
      </c>
      <c r="D48" s="58">
        <f t="shared" ref="D48:K48" si="14">C48</f>
        <v>500</v>
      </c>
      <c r="E48" s="58">
        <f t="shared" si="14"/>
        <v>500</v>
      </c>
      <c r="F48" s="58">
        <f t="shared" si="14"/>
        <v>500</v>
      </c>
      <c r="G48" s="58">
        <f t="shared" si="14"/>
        <v>500</v>
      </c>
      <c r="H48" s="58">
        <f t="shared" si="14"/>
        <v>500</v>
      </c>
      <c r="I48" s="58">
        <f t="shared" si="14"/>
        <v>500</v>
      </c>
      <c r="J48" s="58">
        <f t="shared" si="14"/>
        <v>500</v>
      </c>
      <c r="K48" s="58">
        <f t="shared" si="14"/>
        <v>500</v>
      </c>
      <c r="L48" s="59">
        <f t="shared" si="8"/>
        <v>4000</v>
      </c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>
      <c r="A49" s="34" t="s">
        <v>47</v>
      </c>
      <c r="B49" s="17"/>
      <c r="C49" s="18"/>
      <c r="D49" s="73">
        <f t="shared" ref="D49:L49" si="15">sum(D40:D48)</f>
        <v>15518.86792</v>
      </c>
      <c r="E49" s="73">
        <f t="shared" si="15"/>
        <v>15518.86792</v>
      </c>
      <c r="F49" s="73">
        <f t="shared" si="15"/>
        <v>15518.86792</v>
      </c>
      <c r="G49" s="73">
        <f t="shared" si="15"/>
        <v>15518.86792</v>
      </c>
      <c r="H49" s="73">
        <f t="shared" si="15"/>
        <v>15518.86792</v>
      </c>
      <c r="I49" s="73">
        <f t="shared" si="15"/>
        <v>15518.86792</v>
      </c>
      <c r="J49" s="73">
        <f t="shared" si="15"/>
        <v>15518.86792</v>
      </c>
      <c r="K49" s="73">
        <f t="shared" si="15"/>
        <v>15518.86792</v>
      </c>
      <c r="L49" s="41">
        <f t="shared" si="15"/>
        <v>124150.9434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>
      <c r="A50" s="42"/>
      <c r="B50" s="4"/>
      <c r="L50" s="55"/>
    </row>
    <row r="51">
      <c r="A51" s="34" t="s">
        <v>48</v>
      </c>
      <c r="B51" s="17"/>
      <c r="C51" s="18"/>
      <c r="D51" s="73">
        <f t="shared" ref="D51:L51" si="16">D37-D49</f>
        <v>-15518.86792</v>
      </c>
      <c r="E51" s="73">
        <f t="shared" si="16"/>
        <v>-15518.86792</v>
      </c>
      <c r="F51" s="73">
        <f t="shared" si="16"/>
        <v>-15518.86792</v>
      </c>
      <c r="G51" s="73">
        <f t="shared" si="16"/>
        <v>-15518.86792</v>
      </c>
      <c r="H51" s="73">
        <f t="shared" si="16"/>
        <v>-15518.86792</v>
      </c>
      <c r="I51" s="73">
        <f t="shared" si="16"/>
        <v>-15518.86792</v>
      </c>
      <c r="J51" s="73">
        <f t="shared" si="16"/>
        <v>-15518.86792</v>
      </c>
      <c r="K51" s="73">
        <f t="shared" si="16"/>
        <v>-15518.86792</v>
      </c>
      <c r="L51" s="41">
        <f t="shared" si="16"/>
        <v>-124150.9434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>
      <c r="A52" s="36" t="s">
        <v>49</v>
      </c>
      <c r="B52" s="4"/>
      <c r="D52" s="10">
        <v>0.0</v>
      </c>
      <c r="E52" s="10">
        <v>0.0</v>
      </c>
      <c r="F52" s="10">
        <v>0.0</v>
      </c>
      <c r="G52" s="10">
        <v>0.0</v>
      </c>
      <c r="H52" s="10">
        <v>0.0</v>
      </c>
      <c r="I52" s="10">
        <v>0.0</v>
      </c>
      <c r="J52" s="10">
        <v>0.0</v>
      </c>
      <c r="K52" s="10">
        <v>0.0</v>
      </c>
      <c r="L52" s="57">
        <f>SUM(D52:K52)</f>
        <v>0</v>
      </c>
    </row>
    <row r="53">
      <c r="A53" s="34" t="s">
        <v>50</v>
      </c>
      <c r="B53" s="17"/>
      <c r="C53" s="18"/>
      <c r="D53" s="73">
        <f t="shared" ref="D53:L53" si="17">D51-D52</f>
        <v>-15518.86792</v>
      </c>
      <c r="E53" s="73">
        <f t="shared" si="17"/>
        <v>-15518.86792</v>
      </c>
      <c r="F53" s="73">
        <f t="shared" si="17"/>
        <v>-15518.86792</v>
      </c>
      <c r="G53" s="73">
        <f t="shared" si="17"/>
        <v>-15518.86792</v>
      </c>
      <c r="H53" s="73">
        <f t="shared" si="17"/>
        <v>-15518.86792</v>
      </c>
      <c r="I53" s="73">
        <f t="shared" si="17"/>
        <v>-15518.86792</v>
      </c>
      <c r="J53" s="73">
        <f t="shared" si="17"/>
        <v>-15518.86792</v>
      </c>
      <c r="K53" s="73">
        <f t="shared" si="17"/>
        <v>-15518.86792</v>
      </c>
      <c r="L53" s="41">
        <f t="shared" si="17"/>
        <v>-124150.9434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>
      <c r="A54" s="36" t="s">
        <v>74</v>
      </c>
      <c r="B54" s="4"/>
      <c r="D54" s="10">
        <v>0.0</v>
      </c>
      <c r="E54" s="10">
        <v>0.0</v>
      </c>
      <c r="F54" s="10">
        <v>0.0</v>
      </c>
      <c r="G54" s="10">
        <v>0.0</v>
      </c>
      <c r="H54" s="10">
        <v>0.0</v>
      </c>
      <c r="I54" s="10">
        <v>0.0</v>
      </c>
      <c r="J54" s="10">
        <v>0.0</v>
      </c>
      <c r="K54" s="10">
        <v>0.0</v>
      </c>
      <c r="L54" s="57">
        <f>SUM(D54:K54)</f>
        <v>0</v>
      </c>
    </row>
    <row r="55">
      <c r="A55" s="75" t="s">
        <v>51</v>
      </c>
      <c r="B55" s="76"/>
      <c r="C55" s="77"/>
      <c r="D55" s="77"/>
      <c r="E55" s="77"/>
      <c r="F55" s="77"/>
      <c r="G55" s="77"/>
      <c r="H55" s="77"/>
      <c r="I55" s="77"/>
      <c r="J55" s="77"/>
      <c r="K55" s="77">
        <f>IF(L53 + L54&lt;= 0, 0, (L53 + L54) * 20%)</f>
        <v>0</v>
      </c>
      <c r="L55" s="78">
        <f>IF(L53 + L54&lt;= 0, 0, (L53 + L54) * 20%)</f>
        <v>0</v>
      </c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</row>
    <row r="56">
      <c r="A56" s="79" t="s">
        <v>52</v>
      </c>
      <c r="B56" s="80"/>
      <c r="C56" s="81"/>
      <c r="D56" s="82">
        <f t="shared" ref="D56:L56" si="18">D53-D55</f>
        <v>-15518.86792</v>
      </c>
      <c r="E56" s="82">
        <f t="shared" si="18"/>
        <v>-15518.86792</v>
      </c>
      <c r="F56" s="82">
        <f t="shared" si="18"/>
        <v>-15518.86792</v>
      </c>
      <c r="G56" s="82">
        <f t="shared" si="18"/>
        <v>-15518.86792</v>
      </c>
      <c r="H56" s="82">
        <f t="shared" si="18"/>
        <v>-15518.86792</v>
      </c>
      <c r="I56" s="82">
        <f t="shared" si="18"/>
        <v>-15518.86792</v>
      </c>
      <c r="J56" s="82">
        <f t="shared" si="18"/>
        <v>-15518.86792</v>
      </c>
      <c r="K56" s="82">
        <f t="shared" si="18"/>
        <v>-15518.86792</v>
      </c>
      <c r="L56" s="83">
        <f t="shared" si="18"/>
        <v>-124150.9434</v>
      </c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</row>
    <row r="57">
      <c r="B57" s="4"/>
    </row>
    <row r="58">
      <c r="B58" s="4"/>
    </row>
    <row r="59">
      <c r="B59" s="4"/>
    </row>
    <row r="60">
      <c r="B60" s="4"/>
    </row>
    <row r="61">
      <c r="A61" s="28"/>
      <c r="B61" s="2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  <row r="1001">
      <c r="B1001" s="4"/>
    </row>
    <row r="1002">
      <c r="B1002" s="4"/>
    </row>
    <row r="1003">
      <c r="B1003" s="4"/>
    </row>
    <row r="1004">
      <c r="B1004" s="4"/>
    </row>
    <row r="1005">
      <c r="B1005" s="4"/>
    </row>
    <row r="1006">
      <c r="B1006" s="4"/>
    </row>
    <row r="1007">
      <c r="B1007" s="4"/>
    </row>
    <row r="1008">
      <c r="B1008" s="4"/>
    </row>
    <row r="1009">
      <c r="B1009" s="4"/>
    </row>
    <row r="1010">
      <c r="B1010" s="4"/>
    </row>
    <row r="1011">
      <c r="B1011" s="4"/>
    </row>
    <row r="1012">
      <c r="B1012" s="4"/>
    </row>
    <row r="1013">
      <c r="B1013" s="4"/>
    </row>
    <row r="1014">
      <c r="B1014" s="4"/>
    </row>
    <row r="1015">
      <c r="B1015" s="4"/>
    </row>
    <row r="1016">
      <c r="B1016" s="4"/>
    </row>
    <row r="1017">
      <c r="B1017" s="4"/>
    </row>
    <row r="1018">
      <c r="B1018" s="4"/>
    </row>
    <row r="1019">
      <c r="B1019" s="4"/>
    </row>
    <row r="1020">
      <c r="B1020" s="4"/>
    </row>
    <row r="1021">
      <c r="B1021" s="4"/>
    </row>
    <row r="1022">
      <c r="B1022" s="4"/>
    </row>
    <row r="1023">
      <c r="B1023" s="4"/>
    </row>
    <row r="1024">
      <c r="B1024" s="4"/>
    </row>
    <row r="1025">
      <c r="B1025" s="4"/>
    </row>
    <row r="1026">
      <c r="B1026" s="4"/>
    </row>
    <row r="1027">
      <c r="B1027" s="4"/>
    </row>
    <row r="1028">
      <c r="B1028" s="4"/>
    </row>
    <row r="1029">
      <c r="B1029" s="4"/>
    </row>
  </sheetData>
  <mergeCells count="2">
    <mergeCell ref="A2:L2"/>
    <mergeCell ref="A3:L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7.88"/>
    <col customWidth="1" min="3" max="3" width="10.25"/>
    <col customWidth="1" min="4" max="18" width="12.13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>
      <c r="A2" s="5" t="s">
        <v>1</v>
      </c>
    </row>
    <row r="3">
      <c r="A3" s="5" t="s">
        <v>85</v>
      </c>
    </row>
    <row r="4">
      <c r="A4" s="3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6" t="s">
        <v>3</v>
      </c>
    </row>
    <row r="5">
      <c r="A5" s="3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2">
        <v>26500.0</v>
      </c>
    </row>
    <row r="6">
      <c r="A6" s="7"/>
      <c r="B6" s="8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2">
        <v>19000.0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</row>
    <row r="7">
      <c r="A7" s="7"/>
      <c r="B7" s="8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</row>
    <row r="8">
      <c r="A8" s="31" t="s">
        <v>6</v>
      </c>
      <c r="B8" s="32" t="s">
        <v>82</v>
      </c>
      <c r="C8" s="32" t="s">
        <v>9</v>
      </c>
      <c r="D8" s="32" t="s">
        <v>100</v>
      </c>
      <c r="E8" s="32" t="s">
        <v>101</v>
      </c>
      <c r="F8" s="32" t="s">
        <v>102</v>
      </c>
      <c r="G8" s="32" t="s">
        <v>103</v>
      </c>
      <c r="H8" s="32" t="s">
        <v>90</v>
      </c>
      <c r="I8" s="32" t="s">
        <v>91</v>
      </c>
      <c r="J8" s="32" t="s">
        <v>92</v>
      </c>
      <c r="K8" s="32" t="s">
        <v>93</v>
      </c>
      <c r="L8" s="32" t="s">
        <v>94</v>
      </c>
      <c r="M8" s="32" t="s">
        <v>95</v>
      </c>
      <c r="N8" s="32" t="s">
        <v>96</v>
      </c>
      <c r="O8" s="32" t="s">
        <v>97</v>
      </c>
      <c r="P8" s="33" t="s">
        <v>9</v>
      </c>
      <c r="Q8" s="7" t="s">
        <v>104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</row>
    <row r="9">
      <c r="A9" s="34" t="s">
        <v>58</v>
      </c>
      <c r="B9" s="2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35"/>
    </row>
    <row r="10">
      <c r="A10" s="36" t="s">
        <v>83</v>
      </c>
      <c r="B10" s="2">
        <v>0.0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35"/>
    </row>
    <row r="11">
      <c r="A11" s="40" t="s">
        <v>105</v>
      </c>
      <c r="B11" s="38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35"/>
    </row>
    <row r="12">
      <c r="A12" s="36" t="s">
        <v>60</v>
      </c>
      <c r="B12" s="38">
        <v>0.2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35"/>
    </row>
    <row r="13">
      <c r="A13" s="40" t="s">
        <v>61</v>
      </c>
      <c r="B13" s="2">
        <v>5000.0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35"/>
    </row>
    <row r="14">
      <c r="A14" s="36" t="s">
        <v>33</v>
      </c>
      <c r="B14" s="2">
        <v>1.0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35"/>
    </row>
    <row r="15">
      <c r="A15" s="36" t="s">
        <v>62</v>
      </c>
      <c r="B15" s="2">
        <v>1.0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35"/>
    </row>
    <row r="16">
      <c r="A16" s="36" t="s">
        <v>63</v>
      </c>
      <c r="B16" s="2">
        <v>1.0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35"/>
    </row>
    <row r="17">
      <c r="A17" s="36" t="s">
        <v>64</v>
      </c>
      <c r="B17" s="2">
        <v>0.0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35"/>
    </row>
    <row r="18">
      <c r="A18" s="40" t="s">
        <v>98</v>
      </c>
      <c r="B18" s="38">
        <v>0.1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35"/>
    </row>
    <row r="19">
      <c r="A19" s="36" t="s">
        <v>24</v>
      </c>
      <c r="B19" s="2">
        <v>2500.0</v>
      </c>
      <c r="P19" s="55"/>
    </row>
    <row r="20">
      <c r="A20" s="40" t="s">
        <v>106</v>
      </c>
      <c r="P20" s="55"/>
    </row>
    <row r="21">
      <c r="A21" s="34" t="s">
        <v>66</v>
      </c>
      <c r="B21" s="2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35"/>
    </row>
    <row r="22">
      <c r="A22" s="36" t="s">
        <v>67</v>
      </c>
      <c r="B22" s="2">
        <f>' P&amp;L 2027'!B21</f>
        <v>72</v>
      </c>
      <c r="C22" s="10">
        <f>' P&amp;L 2027'!D21</f>
        <v>288000</v>
      </c>
      <c r="D22" s="10">
        <f>C22/12</f>
        <v>24000</v>
      </c>
      <c r="E22" s="10">
        <f t="shared" ref="E22:O22" si="1">D22</f>
        <v>24000</v>
      </c>
      <c r="F22" s="10">
        <f t="shared" si="1"/>
        <v>24000</v>
      </c>
      <c r="G22" s="10">
        <f t="shared" si="1"/>
        <v>24000</v>
      </c>
      <c r="H22" s="10">
        <f t="shared" si="1"/>
        <v>24000</v>
      </c>
      <c r="I22" s="10">
        <f t="shared" si="1"/>
        <v>24000</v>
      </c>
      <c r="J22" s="10">
        <f t="shared" si="1"/>
        <v>24000</v>
      </c>
      <c r="K22" s="10">
        <f t="shared" si="1"/>
        <v>24000</v>
      </c>
      <c r="L22" s="10">
        <f t="shared" si="1"/>
        <v>24000</v>
      </c>
      <c r="M22" s="10">
        <f t="shared" si="1"/>
        <v>24000</v>
      </c>
      <c r="N22" s="10">
        <f t="shared" si="1"/>
        <v>24000</v>
      </c>
      <c r="O22" s="10">
        <f t="shared" si="1"/>
        <v>24000</v>
      </c>
      <c r="P22" s="35">
        <f t="shared" ref="P22:P25" si="2">SUM(D22:O22)</f>
        <v>288000</v>
      </c>
      <c r="Q22" s="72">
        <f t="shared" ref="Q22:Q39" si="3">C22-P22</f>
        <v>0</v>
      </c>
    </row>
    <row r="23">
      <c r="A23" s="36" t="s">
        <v>68</v>
      </c>
      <c r="B23" s="2">
        <f>' P&amp;L 2027'!B22</f>
        <v>72</v>
      </c>
      <c r="C23" s="10">
        <f>' P&amp;L 2027'!D22</f>
        <v>258113.2075</v>
      </c>
      <c r="D23" s="85">
        <f>C23*40%</f>
        <v>103245.283</v>
      </c>
      <c r="E23" s="10">
        <v>0.0</v>
      </c>
      <c r="F23" s="10">
        <v>0.0</v>
      </c>
      <c r="G23" s="10">
        <v>0.0</v>
      </c>
      <c r="H23" s="10">
        <v>0.0</v>
      </c>
      <c r="I23" s="10">
        <v>0.0</v>
      </c>
      <c r="J23" s="85">
        <f>C23*60%/12</f>
        <v>12905.66038</v>
      </c>
      <c r="K23" s="10">
        <f>C23*60%/12</f>
        <v>12905.66038</v>
      </c>
      <c r="L23" s="10">
        <f>C23*60%/12</f>
        <v>12905.66038</v>
      </c>
      <c r="M23" s="10">
        <f>C23*60%/12</f>
        <v>12905.66038</v>
      </c>
      <c r="N23" s="10">
        <f>C23*60%/12</f>
        <v>12905.66038</v>
      </c>
      <c r="O23" s="10">
        <f>C23*60%/12</f>
        <v>12905.66038</v>
      </c>
      <c r="P23" s="35">
        <f t="shared" si="2"/>
        <v>180679.2453</v>
      </c>
      <c r="Q23" s="72">
        <f t="shared" si="3"/>
        <v>77433.96226</v>
      </c>
      <c r="R23" s="3" t="s">
        <v>107</v>
      </c>
    </row>
    <row r="24">
      <c r="A24" s="36" t="s">
        <v>15</v>
      </c>
      <c r="B24" s="2">
        <f>' P&amp;L 2027'!B23</f>
        <v>72</v>
      </c>
      <c r="C24" s="10">
        <f>' P&amp;L 2027'!D23</f>
        <v>144000</v>
      </c>
      <c r="D24" s="10">
        <f t="shared" ref="D24:D25" si="5">C24/12</f>
        <v>12000</v>
      </c>
      <c r="E24" s="10">
        <f t="shared" ref="E24:O24" si="4">D24</f>
        <v>12000</v>
      </c>
      <c r="F24" s="10">
        <f t="shared" si="4"/>
        <v>12000</v>
      </c>
      <c r="G24" s="10">
        <f t="shared" si="4"/>
        <v>12000</v>
      </c>
      <c r="H24" s="10">
        <f t="shared" si="4"/>
        <v>12000</v>
      </c>
      <c r="I24" s="10">
        <f t="shared" si="4"/>
        <v>12000</v>
      </c>
      <c r="J24" s="10">
        <f t="shared" si="4"/>
        <v>12000</v>
      </c>
      <c r="K24" s="10">
        <f t="shared" si="4"/>
        <v>12000</v>
      </c>
      <c r="L24" s="10">
        <f t="shared" si="4"/>
        <v>12000</v>
      </c>
      <c r="M24" s="10">
        <f t="shared" si="4"/>
        <v>12000</v>
      </c>
      <c r="N24" s="10">
        <f t="shared" si="4"/>
        <v>12000</v>
      </c>
      <c r="O24" s="10">
        <f t="shared" si="4"/>
        <v>12000</v>
      </c>
      <c r="P24" s="35">
        <f t="shared" si="2"/>
        <v>144000</v>
      </c>
      <c r="Q24" s="72">
        <f t="shared" si="3"/>
        <v>0</v>
      </c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>
      <c r="A25" s="36" t="s">
        <v>69</v>
      </c>
      <c r="B25" s="2">
        <f>' P&amp;L 2027'!B24</f>
        <v>72</v>
      </c>
      <c r="C25" s="10">
        <f>' P&amp;L 2027'!D24</f>
        <v>50400</v>
      </c>
      <c r="D25" s="10">
        <f t="shared" si="5"/>
        <v>4200</v>
      </c>
      <c r="E25" s="10">
        <f t="shared" ref="E25:O25" si="6">D25</f>
        <v>4200</v>
      </c>
      <c r="F25" s="10">
        <f t="shared" si="6"/>
        <v>4200</v>
      </c>
      <c r="G25" s="10">
        <f t="shared" si="6"/>
        <v>4200</v>
      </c>
      <c r="H25" s="10">
        <f t="shared" si="6"/>
        <v>4200</v>
      </c>
      <c r="I25" s="10">
        <f t="shared" si="6"/>
        <v>4200</v>
      </c>
      <c r="J25" s="10">
        <f t="shared" si="6"/>
        <v>4200</v>
      </c>
      <c r="K25" s="10">
        <f t="shared" si="6"/>
        <v>4200</v>
      </c>
      <c r="L25" s="10">
        <f t="shared" si="6"/>
        <v>4200</v>
      </c>
      <c r="M25" s="10">
        <f t="shared" si="6"/>
        <v>4200</v>
      </c>
      <c r="N25" s="10">
        <f t="shared" si="6"/>
        <v>4200</v>
      </c>
      <c r="O25" s="10">
        <f t="shared" si="6"/>
        <v>4200</v>
      </c>
      <c r="P25" s="35">
        <f t="shared" si="2"/>
        <v>50400</v>
      </c>
      <c r="Q25" s="72">
        <f t="shared" si="3"/>
        <v>0</v>
      </c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>
      <c r="A26" s="34" t="s">
        <v>20</v>
      </c>
      <c r="B26" s="20" t="str">
        <f>' P&amp;L 2027'!B25</f>
        <v/>
      </c>
      <c r="C26" s="19">
        <f>' P&amp;L 2027'!D25</f>
        <v>740513.2075</v>
      </c>
      <c r="D26" s="73">
        <f t="shared" ref="D26:P26" si="7">SUM(D22:D25)</f>
        <v>143445.283</v>
      </c>
      <c r="E26" s="73">
        <f t="shared" si="7"/>
        <v>40200</v>
      </c>
      <c r="F26" s="73">
        <f t="shared" si="7"/>
        <v>40200</v>
      </c>
      <c r="G26" s="73">
        <f t="shared" si="7"/>
        <v>40200</v>
      </c>
      <c r="H26" s="73">
        <f t="shared" si="7"/>
        <v>40200</v>
      </c>
      <c r="I26" s="73">
        <f t="shared" si="7"/>
        <v>40200</v>
      </c>
      <c r="J26" s="73">
        <f t="shared" si="7"/>
        <v>53105.66038</v>
      </c>
      <c r="K26" s="73">
        <f t="shared" si="7"/>
        <v>53105.66038</v>
      </c>
      <c r="L26" s="73">
        <f t="shared" si="7"/>
        <v>53105.66038</v>
      </c>
      <c r="M26" s="73">
        <f t="shared" si="7"/>
        <v>53105.66038</v>
      </c>
      <c r="N26" s="73">
        <f t="shared" si="7"/>
        <v>53105.66038</v>
      </c>
      <c r="O26" s="73">
        <f t="shared" si="7"/>
        <v>53105.66038</v>
      </c>
      <c r="P26" s="41">
        <f t="shared" si="7"/>
        <v>663079.2453</v>
      </c>
      <c r="Q26" s="73">
        <f t="shared" si="3"/>
        <v>77433.96226</v>
      </c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>
      <c r="A27" s="42"/>
      <c r="B27" s="2" t="str">
        <f>' P&amp;L 2027'!B26</f>
        <v/>
      </c>
      <c r="C27" s="10" t="str">
        <f>' P&amp;L 2027'!D26</f>
        <v/>
      </c>
      <c r="P27" s="55"/>
      <c r="Q27" s="72">
        <f t="shared" si="3"/>
        <v>0</v>
      </c>
    </row>
    <row r="28">
      <c r="A28" s="34" t="s">
        <v>22</v>
      </c>
      <c r="B28" s="2" t="str">
        <f>' P&amp;L 2027'!B27</f>
        <v/>
      </c>
      <c r="C28" s="10" t="str">
        <f>' P&amp;L 2027'!D27</f>
        <v/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56"/>
      <c r="Q28" s="72">
        <f t="shared" si="3"/>
        <v>0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>
      <c r="A29" s="43" t="s">
        <v>17</v>
      </c>
      <c r="B29" s="2">
        <f>' P&amp;L 2027'!B28</f>
        <v>72</v>
      </c>
      <c r="C29" s="10">
        <f>' P&amp;L 2027'!D28</f>
        <v>25811.32075</v>
      </c>
      <c r="D29" s="85">
        <f t="shared" ref="D29:O29" si="8">D23*10%</f>
        <v>10324.5283</v>
      </c>
      <c r="E29" s="14">
        <f t="shared" si="8"/>
        <v>0</v>
      </c>
      <c r="F29" s="14">
        <f t="shared" si="8"/>
        <v>0</v>
      </c>
      <c r="G29" s="14">
        <f t="shared" si="8"/>
        <v>0</v>
      </c>
      <c r="H29" s="14">
        <f t="shared" si="8"/>
        <v>0</v>
      </c>
      <c r="I29" s="14">
        <f t="shared" si="8"/>
        <v>0</v>
      </c>
      <c r="J29" s="14">
        <f t="shared" si="8"/>
        <v>1290.566038</v>
      </c>
      <c r="K29" s="14">
        <f t="shared" si="8"/>
        <v>1290.566038</v>
      </c>
      <c r="L29" s="14">
        <f t="shared" si="8"/>
        <v>1290.566038</v>
      </c>
      <c r="M29" s="14">
        <f t="shared" si="8"/>
        <v>1290.566038</v>
      </c>
      <c r="N29" s="14">
        <f t="shared" si="8"/>
        <v>1290.566038</v>
      </c>
      <c r="O29" s="14">
        <f t="shared" si="8"/>
        <v>1290.566038</v>
      </c>
      <c r="P29" s="35">
        <f t="shared" ref="P29:P38" si="10">SUM(D29:O29)</f>
        <v>18067.92453</v>
      </c>
      <c r="Q29" s="72">
        <f t="shared" si="3"/>
        <v>7743.396226</v>
      </c>
      <c r="R29" s="12" t="s">
        <v>108</v>
      </c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>
      <c r="A30" s="36" t="s">
        <v>23</v>
      </c>
      <c r="B30" s="2">
        <f>' P&amp;L 2027'!B29</f>
        <v>72</v>
      </c>
      <c r="C30" s="10">
        <f>' P&amp;L 2027'!D29</f>
        <v>158943.3962</v>
      </c>
      <c r="D30" s="10">
        <f>C30/12</f>
        <v>13245.28302</v>
      </c>
      <c r="E30" s="10">
        <f t="shared" ref="E30:O30" si="9">D30</f>
        <v>13245.28302</v>
      </c>
      <c r="F30" s="10">
        <f t="shared" si="9"/>
        <v>13245.28302</v>
      </c>
      <c r="G30" s="10">
        <f t="shared" si="9"/>
        <v>13245.28302</v>
      </c>
      <c r="H30" s="10">
        <f t="shared" si="9"/>
        <v>13245.28302</v>
      </c>
      <c r="I30" s="10">
        <f t="shared" si="9"/>
        <v>13245.28302</v>
      </c>
      <c r="J30" s="10">
        <f t="shared" si="9"/>
        <v>13245.28302</v>
      </c>
      <c r="K30" s="10">
        <f t="shared" si="9"/>
        <v>13245.28302</v>
      </c>
      <c r="L30" s="10">
        <f t="shared" si="9"/>
        <v>13245.28302</v>
      </c>
      <c r="M30" s="10">
        <f t="shared" si="9"/>
        <v>13245.28302</v>
      </c>
      <c r="N30" s="10">
        <f t="shared" si="9"/>
        <v>13245.28302</v>
      </c>
      <c r="O30" s="10">
        <f t="shared" si="9"/>
        <v>13245.28302</v>
      </c>
      <c r="P30" s="35">
        <f t="shared" si="10"/>
        <v>158943.3962</v>
      </c>
      <c r="Q30" s="72">
        <f t="shared" si="3"/>
        <v>0</v>
      </c>
    </row>
    <row r="31">
      <c r="A31" s="36" t="s">
        <v>25</v>
      </c>
      <c r="B31" s="2">
        <f>' P&amp;L 2027'!B30</f>
        <v>0</v>
      </c>
      <c r="C31" s="10">
        <f>' P&amp;L 2027'!D30</f>
        <v>0</v>
      </c>
      <c r="D31" s="23">
        <v>0.0</v>
      </c>
      <c r="E31" s="23">
        <v>0.0</v>
      </c>
      <c r="F31" s="23">
        <v>0.0</v>
      </c>
      <c r="G31" s="23">
        <v>0.0</v>
      </c>
      <c r="H31" s="23">
        <v>0.0</v>
      </c>
      <c r="I31" s="23">
        <v>0.0</v>
      </c>
      <c r="J31" s="23">
        <v>0.0</v>
      </c>
      <c r="K31" s="23">
        <v>0.0</v>
      </c>
      <c r="L31" s="23">
        <v>0.0</v>
      </c>
      <c r="M31" s="23">
        <v>0.0</v>
      </c>
      <c r="N31" s="23">
        <v>0.0</v>
      </c>
      <c r="O31" s="23">
        <v>0.0</v>
      </c>
      <c r="P31" s="35">
        <f t="shared" si="10"/>
        <v>0</v>
      </c>
      <c r="Q31" s="72">
        <f t="shared" si="3"/>
        <v>0</v>
      </c>
    </row>
    <row r="32">
      <c r="A32" s="40" t="s">
        <v>26</v>
      </c>
      <c r="B32" s="2">
        <f>' P&amp;L 2027'!B31</f>
        <v>72</v>
      </c>
      <c r="C32" s="10">
        <f>' P&amp;L 2027'!D31</f>
        <v>36000</v>
      </c>
      <c r="D32" s="10">
        <f>C32/12</f>
        <v>3000</v>
      </c>
      <c r="E32" s="10">
        <f t="shared" ref="E32:O32" si="11">D32</f>
        <v>3000</v>
      </c>
      <c r="F32" s="10">
        <f t="shared" si="11"/>
        <v>3000</v>
      </c>
      <c r="G32" s="10">
        <f t="shared" si="11"/>
        <v>3000</v>
      </c>
      <c r="H32" s="10">
        <f t="shared" si="11"/>
        <v>3000</v>
      </c>
      <c r="I32" s="10">
        <f t="shared" si="11"/>
        <v>3000</v>
      </c>
      <c r="J32" s="10">
        <f t="shared" si="11"/>
        <v>3000</v>
      </c>
      <c r="K32" s="10">
        <f t="shared" si="11"/>
        <v>3000</v>
      </c>
      <c r="L32" s="10">
        <f t="shared" si="11"/>
        <v>3000</v>
      </c>
      <c r="M32" s="10">
        <f t="shared" si="11"/>
        <v>3000</v>
      </c>
      <c r="N32" s="10">
        <f t="shared" si="11"/>
        <v>3000</v>
      </c>
      <c r="O32" s="10">
        <f t="shared" si="11"/>
        <v>3000</v>
      </c>
      <c r="P32" s="35">
        <f t="shared" si="10"/>
        <v>36000</v>
      </c>
      <c r="Q32" s="72">
        <f t="shared" si="3"/>
        <v>0</v>
      </c>
    </row>
    <row r="33">
      <c r="A33" s="36" t="s">
        <v>27</v>
      </c>
      <c r="B33" s="2">
        <f>' P&amp;L 2027'!B32</f>
        <v>0</v>
      </c>
      <c r="C33" s="10">
        <f>' P&amp;L 2027'!D32</f>
        <v>0</v>
      </c>
      <c r="D33" s="23">
        <v>0.0</v>
      </c>
      <c r="E33" s="23">
        <v>0.0</v>
      </c>
      <c r="F33" s="23">
        <v>0.0</v>
      </c>
      <c r="G33" s="23">
        <v>0.0</v>
      </c>
      <c r="H33" s="23">
        <v>0.0</v>
      </c>
      <c r="I33" s="23">
        <v>0.0</v>
      </c>
      <c r="J33" s="23">
        <v>0.0</v>
      </c>
      <c r="K33" s="23">
        <v>0.0</v>
      </c>
      <c r="L33" s="23">
        <v>0.0</v>
      </c>
      <c r="M33" s="23">
        <v>0.0</v>
      </c>
      <c r="N33" s="23">
        <v>0.0</v>
      </c>
      <c r="O33" s="23">
        <v>0.0</v>
      </c>
      <c r="P33" s="35">
        <f t="shared" si="10"/>
        <v>0</v>
      </c>
      <c r="Q33" s="72">
        <f t="shared" si="3"/>
        <v>0</v>
      </c>
    </row>
    <row r="34">
      <c r="A34" s="36" t="s">
        <v>28</v>
      </c>
      <c r="B34" s="2">
        <f>' P&amp;L 2027'!B33</f>
        <v>0</v>
      </c>
      <c r="C34" s="10">
        <f>' P&amp;L 2027'!D33</f>
        <v>0</v>
      </c>
      <c r="D34" s="23">
        <v>0.0</v>
      </c>
      <c r="E34" s="23">
        <v>0.0</v>
      </c>
      <c r="F34" s="23">
        <v>0.0</v>
      </c>
      <c r="G34" s="23">
        <v>0.0</v>
      </c>
      <c r="H34" s="23">
        <v>0.0</v>
      </c>
      <c r="I34" s="23">
        <v>0.0</v>
      </c>
      <c r="J34" s="23">
        <v>0.0</v>
      </c>
      <c r="K34" s="23">
        <v>0.0</v>
      </c>
      <c r="L34" s="23">
        <v>0.0</v>
      </c>
      <c r="M34" s="23">
        <v>0.0</v>
      </c>
      <c r="N34" s="23">
        <v>0.0</v>
      </c>
      <c r="O34" s="23">
        <v>0.0</v>
      </c>
      <c r="P34" s="35">
        <f t="shared" si="10"/>
        <v>0</v>
      </c>
      <c r="Q34" s="72">
        <f t="shared" si="3"/>
        <v>0</v>
      </c>
    </row>
    <row r="35">
      <c r="A35" s="43" t="s">
        <v>70</v>
      </c>
      <c r="B35" s="2">
        <f>' P&amp;L 2027'!B34</f>
        <v>72</v>
      </c>
      <c r="C35" s="10">
        <f>' P&amp;L 2027'!D34</f>
        <v>5760</v>
      </c>
      <c r="D35" s="23">
        <f>C35/12</f>
        <v>480</v>
      </c>
      <c r="E35" s="23">
        <f>C35/12</f>
        <v>480</v>
      </c>
      <c r="F35" s="23">
        <f t="shared" ref="F35:O35" si="12">D35</f>
        <v>480</v>
      </c>
      <c r="G35" s="23">
        <f t="shared" si="12"/>
        <v>480</v>
      </c>
      <c r="H35" s="23">
        <f t="shared" si="12"/>
        <v>480</v>
      </c>
      <c r="I35" s="23">
        <f t="shared" si="12"/>
        <v>480</v>
      </c>
      <c r="J35" s="23">
        <f t="shared" si="12"/>
        <v>480</v>
      </c>
      <c r="K35" s="23">
        <f t="shared" si="12"/>
        <v>480</v>
      </c>
      <c r="L35" s="23">
        <f t="shared" si="12"/>
        <v>480</v>
      </c>
      <c r="M35" s="23">
        <f t="shared" si="12"/>
        <v>480</v>
      </c>
      <c r="N35" s="23">
        <f t="shared" si="12"/>
        <v>480</v>
      </c>
      <c r="O35" s="23">
        <f t="shared" si="12"/>
        <v>480</v>
      </c>
      <c r="P35" s="35">
        <f t="shared" si="10"/>
        <v>5760</v>
      </c>
      <c r="Q35" s="72">
        <f t="shared" si="3"/>
        <v>0</v>
      </c>
    </row>
    <row r="36">
      <c r="A36" s="36" t="s">
        <v>29</v>
      </c>
      <c r="B36" s="2">
        <f>' P&amp;L 2027'!B35</f>
        <v>0</v>
      </c>
      <c r="C36" s="10">
        <f>' P&amp;L 2027'!D35</f>
        <v>0</v>
      </c>
      <c r="D36" s="23">
        <v>0.0</v>
      </c>
      <c r="E36" s="23">
        <v>0.0</v>
      </c>
      <c r="F36" s="23">
        <v>0.0</v>
      </c>
      <c r="G36" s="23">
        <v>0.0</v>
      </c>
      <c r="H36" s="23">
        <v>0.0</v>
      </c>
      <c r="I36" s="23">
        <v>0.0</v>
      </c>
      <c r="J36" s="23">
        <v>0.0</v>
      </c>
      <c r="K36" s="23">
        <v>0.0</v>
      </c>
      <c r="L36" s="23">
        <v>0.0</v>
      </c>
      <c r="M36" s="23">
        <v>0.0</v>
      </c>
      <c r="N36" s="23">
        <v>0.0</v>
      </c>
      <c r="O36" s="23">
        <v>0.0</v>
      </c>
      <c r="P36" s="35">
        <f t="shared" si="10"/>
        <v>0</v>
      </c>
      <c r="Q36" s="72">
        <f t="shared" si="3"/>
        <v>0</v>
      </c>
    </row>
    <row r="37">
      <c r="A37" s="34" t="s">
        <v>30</v>
      </c>
      <c r="B37" s="20">
        <f>' P&amp;L 2027'!B35</f>
        <v>0</v>
      </c>
      <c r="C37" s="19">
        <f>' P&amp;L 2027'!D36</f>
        <v>226514.717</v>
      </c>
      <c r="D37" s="19">
        <f t="shared" ref="D37:O37" si="13">SUM(D29:D36)</f>
        <v>27049.81132</v>
      </c>
      <c r="E37" s="19">
        <f t="shared" si="13"/>
        <v>16725.28302</v>
      </c>
      <c r="F37" s="19">
        <f t="shared" si="13"/>
        <v>16725.28302</v>
      </c>
      <c r="G37" s="19">
        <f t="shared" si="13"/>
        <v>16725.28302</v>
      </c>
      <c r="H37" s="19">
        <f t="shared" si="13"/>
        <v>16725.28302</v>
      </c>
      <c r="I37" s="19">
        <f t="shared" si="13"/>
        <v>16725.28302</v>
      </c>
      <c r="J37" s="19">
        <f t="shared" si="13"/>
        <v>18015.84906</v>
      </c>
      <c r="K37" s="19">
        <f t="shared" si="13"/>
        <v>18015.84906</v>
      </c>
      <c r="L37" s="19">
        <f t="shared" si="13"/>
        <v>18015.84906</v>
      </c>
      <c r="M37" s="19">
        <f t="shared" si="13"/>
        <v>18015.84906</v>
      </c>
      <c r="N37" s="19">
        <f t="shared" si="13"/>
        <v>18015.84906</v>
      </c>
      <c r="O37" s="19">
        <f t="shared" si="13"/>
        <v>18015.84906</v>
      </c>
      <c r="P37" s="41">
        <f t="shared" si="10"/>
        <v>218771.3208</v>
      </c>
      <c r="Q37" s="73">
        <f t="shared" si="3"/>
        <v>7743.396226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</row>
    <row r="38">
      <c r="A38" s="34" t="s">
        <v>31</v>
      </c>
      <c r="B38" s="20" t="str">
        <f>' P&amp;L 2027'!B36</f>
        <v/>
      </c>
      <c r="C38" s="19">
        <f>' P&amp;L 2027'!D37</f>
        <v>513998.4906</v>
      </c>
      <c r="D38" s="73">
        <f t="shared" ref="D38:O38" si="14">D26-D37</f>
        <v>116395.4717</v>
      </c>
      <c r="E38" s="73">
        <f t="shared" si="14"/>
        <v>23474.71698</v>
      </c>
      <c r="F38" s="73">
        <f t="shared" si="14"/>
        <v>23474.71698</v>
      </c>
      <c r="G38" s="73">
        <f t="shared" si="14"/>
        <v>23474.71698</v>
      </c>
      <c r="H38" s="73">
        <f t="shared" si="14"/>
        <v>23474.71698</v>
      </c>
      <c r="I38" s="73">
        <f t="shared" si="14"/>
        <v>23474.71698</v>
      </c>
      <c r="J38" s="73">
        <f t="shared" si="14"/>
        <v>35089.81132</v>
      </c>
      <c r="K38" s="73">
        <f t="shared" si="14"/>
        <v>35089.81132</v>
      </c>
      <c r="L38" s="73">
        <f t="shared" si="14"/>
        <v>35089.81132</v>
      </c>
      <c r="M38" s="73">
        <f t="shared" si="14"/>
        <v>35089.81132</v>
      </c>
      <c r="N38" s="73">
        <f t="shared" si="14"/>
        <v>35089.81132</v>
      </c>
      <c r="O38" s="73">
        <f t="shared" si="14"/>
        <v>35089.81132</v>
      </c>
      <c r="P38" s="41">
        <f t="shared" si="10"/>
        <v>444307.9245</v>
      </c>
      <c r="Q38" s="73">
        <f t="shared" si="3"/>
        <v>69690.56604</v>
      </c>
      <c r="R38" s="73">
        <f>Q26-Q37</f>
        <v>69690.56604</v>
      </c>
      <c r="S38" s="16" t="s">
        <v>107</v>
      </c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</row>
    <row r="39">
      <c r="A39" s="42"/>
      <c r="B39" s="2" t="str">
        <f>' P&amp;L 2027'!B37</f>
        <v/>
      </c>
      <c r="C39" s="10"/>
      <c r="P39" s="55"/>
      <c r="Q39" s="72">
        <f t="shared" si="3"/>
        <v>0</v>
      </c>
    </row>
    <row r="40">
      <c r="A40" s="34"/>
      <c r="B40" s="2"/>
      <c r="C40" s="10" t="str">
        <f>' P&amp;L 2027'!D39</f>
        <v/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62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</row>
    <row r="41">
      <c r="A41" s="34" t="s">
        <v>32</v>
      </c>
      <c r="B41" s="2" t="str">
        <f>' P&amp;L 2027'!B38</f>
        <v/>
      </c>
      <c r="C41" s="10" t="str">
        <f>' P&amp;L 2027'!D39</f>
        <v/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62"/>
      <c r="Q41" s="72">
        <f t="shared" ref="Q41:Q58" si="16">C41-P41</f>
        <v>0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</row>
    <row r="42">
      <c r="A42" s="36" t="s">
        <v>33</v>
      </c>
      <c r="B42" s="2">
        <v>1.0</v>
      </c>
      <c r="C42" s="10">
        <f>' P&amp;L 2027'!D40</f>
        <v>120000</v>
      </c>
      <c r="D42" s="23">
        <f>C42/12</f>
        <v>10000</v>
      </c>
      <c r="E42" s="23">
        <f t="shared" ref="E42:O42" si="15">D42</f>
        <v>10000</v>
      </c>
      <c r="F42" s="23">
        <f t="shared" si="15"/>
        <v>10000</v>
      </c>
      <c r="G42" s="23">
        <f t="shared" si="15"/>
        <v>10000</v>
      </c>
      <c r="H42" s="23">
        <f t="shared" si="15"/>
        <v>10000</v>
      </c>
      <c r="I42" s="23">
        <f t="shared" si="15"/>
        <v>10000</v>
      </c>
      <c r="J42" s="23">
        <f t="shared" si="15"/>
        <v>10000</v>
      </c>
      <c r="K42" s="23">
        <f t="shared" si="15"/>
        <v>10000</v>
      </c>
      <c r="L42" s="23">
        <f t="shared" si="15"/>
        <v>10000</v>
      </c>
      <c r="M42" s="23">
        <f t="shared" si="15"/>
        <v>10000</v>
      </c>
      <c r="N42" s="23">
        <f t="shared" si="15"/>
        <v>10000</v>
      </c>
      <c r="O42" s="23">
        <f t="shared" si="15"/>
        <v>10000</v>
      </c>
      <c r="P42" s="57">
        <f t="shared" ref="P42:P50" si="18">SUM(D42:O42)</f>
        <v>120000</v>
      </c>
      <c r="Q42" s="72">
        <f t="shared" si="16"/>
        <v>0</v>
      </c>
    </row>
    <row r="43" ht="18.0" customHeight="1">
      <c r="A43" s="36" t="s">
        <v>35</v>
      </c>
      <c r="B43" s="2">
        <f>' P&amp;L 2027'!B40</f>
        <v>1</v>
      </c>
      <c r="C43" s="10">
        <f>' P&amp;L 2027'!D41</f>
        <v>17169.81132</v>
      </c>
      <c r="D43" s="23">
        <f>C43/13</f>
        <v>1320.754717</v>
      </c>
      <c r="E43" s="23">
        <f>D43</f>
        <v>1320.754717</v>
      </c>
      <c r="F43" s="23">
        <f t="shared" ref="F43:N43" si="17">D43</f>
        <v>1320.754717</v>
      </c>
      <c r="G43" s="23">
        <f t="shared" si="17"/>
        <v>1320.754717</v>
      </c>
      <c r="H43" s="23">
        <f t="shared" si="17"/>
        <v>1320.754717</v>
      </c>
      <c r="I43" s="23">
        <f t="shared" si="17"/>
        <v>1320.754717</v>
      </c>
      <c r="J43" s="23">
        <f t="shared" si="17"/>
        <v>1320.754717</v>
      </c>
      <c r="K43" s="23">
        <f t="shared" si="17"/>
        <v>1320.754717</v>
      </c>
      <c r="L43" s="23">
        <f t="shared" si="17"/>
        <v>1320.754717</v>
      </c>
      <c r="M43" s="23">
        <f t="shared" si="17"/>
        <v>1320.754717</v>
      </c>
      <c r="N43" s="23">
        <f t="shared" si="17"/>
        <v>1320.754717</v>
      </c>
      <c r="O43" s="23">
        <f>M43*2</f>
        <v>2641.509434</v>
      </c>
      <c r="P43" s="57">
        <f t="shared" si="18"/>
        <v>17169.81132</v>
      </c>
      <c r="Q43" s="72">
        <f t="shared" si="16"/>
        <v>0</v>
      </c>
    </row>
    <row r="44">
      <c r="A44" s="36" t="s">
        <v>36</v>
      </c>
      <c r="B44" s="2">
        <f>' P&amp;L 2027'!B41</f>
        <v>1</v>
      </c>
      <c r="C44" s="10">
        <f>' P&amp;L 2027'!D42</f>
        <v>0</v>
      </c>
      <c r="D44" s="23"/>
      <c r="E44" s="23"/>
      <c r="F44" s="23"/>
      <c r="G44" s="23"/>
      <c r="H44" s="23">
        <f>C44</f>
        <v>0</v>
      </c>
      <c r="I44" s="23">
        <f t="shared" ref="I44:O44" si="19">H44</f>
        <v>0</v>
      </c>
      <c r="J44" s="23">
        <f t="shared" si="19"/>
        <v>0</v>
      </c>
      <c r="K44" s="23">
        <f t="shared" si="19"/>
        <v>0</v>
      </c>
      <c r="L44" s="23">
        <f t="shared" si="19"/>
        <v>0</v>
      </c>
      <c r="M44" s="23">
        <f t="shared" si="19"/>
        <v>0</v>
      </c>
      <c r="N44" s="23">
        <f t="shared" si="19"/>
        <v>0</v>
      </c>
      <c r="O44" s="23">
        <f t="shared" si="19"/>
        <v>0</v>
      </c>
      <c r="P44" s="57">
        <f t="shared" si="18"/>
        <v>0</v>
      </c>
      <c r="Q44" s="72">
        <f t="shared" si="16"/>
        <v>0</v>
      </c>
    </row>
    <row r="45">
      <c r="A45" s="36" t="s">
        <v>37</v>
      </c>
      <c r="B45" s="2">
        <f>' P&amp;L 2027'!B42</f>
        <v>0</v>
      </c>
      <c r="C45" s="10">
        <f>' P&amp;L 2027'!D43</f>
        <v>12000</v>
      </c>
      <c r="D45" s="23">
        <f t="shared" ref="D45:D46" si="21">C45/12</f>
        <v>1000</v>
      </c>
      <c r="E45" s="23">
        <f t="shared" ref="E45:O45" si="20">D45</f>
        <v>1000</v>
      </c>
      <c r="F45" s="23">
        <f t="shared" si="20"/>
        <v>1000</v>
      </c>
      <c r="G45" s="23">
        <f t="shared" si="20"/>
        <v>1000</v>
      </c>
      <c r="H45" s="23">
        <f t="shared" si="20"/>
        <v>1000</v>
      </c>
      <c r="I45" s="23">
        <f t="shared" si="20"/>
        <v>1000</v>
      </c>
      <c r="J45" s="23">
        <f t="shared" si="20"/>
        <v>1000</v>
      </c>
      <c r="K45" s="23">
        <f t="shared" si="20"/>
        <v>1000</v>
      </c>
      <c r="L45" s="23">
        <f t="shared" si="20"/>
        <v>1000</v>
      </c>
      <c r="M45" s="23">
        <f t="shared" si="20"/>
        <v>1000</v>
      </c>
      <c r="N45" s="23">
        <f t="shared" si="20"/>
        <v>1000</v>
      </c>
      <c r="O45" s="23">
        <f t="shared" si="20"/>
        <v>1000</v>
      </c>
      <c r="P45" s="57">
        <f t="shared" si="18"/>
        <v>12000</v>
      </c>
      <c r="Q45" s="72">
        <f t="shared" si="16"/>
        <v>0</v>
      </c>
    </row>
    <row r="46">
      <c r="A46" s="36" t="s">
        <v>38</v>
      </c>
      <c r="B46" s="2">
        <f>' P&amp;L 2027'!B43</f>
        <v>1</v>
      </c>
      <c r="C46" s="10">
        <f>' P&amp;L 2027'!D44</f>
        <v>4528.301887</v>
      </c>
      <c r="D46" s="23">
        <f t="shared" si="21"/>
        <v>377.3584906</v>
      </c>
      <c r="E46" s="23">
        <f t="shared" ref="E46:O46" si="22">D46</f>
        <v>377.3584906</v>
      </c>
      <c r="F46" s="23">
        <f t="shared" si="22"/>
        <v>377.3584906</v>
      </c>
      <c r="G46" s="23">
        <f t="shared" si="22"/>
        <v>377.3584906</v>
      </c>
      <c r="H46" s="23">
        <f t="shared" si="22"/>
        <v>377.3584906</v>
      </c>
      <c r="I46" s="23">
        <f t="shared" si="22"/>
        <v>377.3584906</v>
      </c>
      <c r="J46" s="23">
        <f t="shared" si="22"/>
        <v>377.3584906</v>
      </c>
      <c r="K46" s="23">
        <f t="shared" si="22"/>
        <v>377.3584906</v>
      </c>
      <c r="L46" s="23">
        <f t="shared" si="22"/>
        <v>377.3584906</v>
      </c>
      <c r="M46" s="23">
        <f t="shared" si="22"/>
        <v>377.3584906</v>
      </c>
      <c r="N46" s="23">
        <f t="shared" si="22"/>
        <v>377.3584906</v>
      </c>
      <c r="O46" s="23">
        <f t="shared" si="22"/>
        <v>377.3584906</v>
      </c>
      <c r="P46" s="57">
        <f t="shared" si="18"/>
        <v>4528.301887</v>
      </c>
      <c r="Q46" s="72">
        <f t="shared" si="16"/>
        <v>0</v>
      </c>
    </row>
    <row r="47">
      <c r="A47" s="36" t="s">
        <v>64</v>
      </c>
      <c r="B47" s="2">
        <f>' P&amp;L 2027'!B44</f>
        <v>1</v>
      </c>
      <c r="C47" s="10">
        <f>' P&amp;L 2027'!D45</f>
        <v>0</v>
      </c>
      <c r="D47" s="23">
        <f t="shared" ref="D47:D48" si="24">C47/13</f>
        <v>0</v>
      </c>
      <c r="E47" s="23">
        <f t="shared" ref="E47:E50" si="25">D47</f>
        <v>0</v>
      </c>
      <c r="F47" s="23">
        <f t="shared" ref="F47:N47" si="23">D47</f>
        <v>0</v>
      </c>
      <c r="G47" s="23">
        <f t="shared" si="23"/>
        <v>0</v>
      </c>
      <c r="H47" s="23">
        <f t="shared" si="23"/>
        <v>0</v>
      </c>
      <c r="I47" s="23">
        <f t="shared" si="23"/>
        <v>0</v>
      </c>
      <c r="J47" s="23">
        <f t="shared" si="23"/>
        <v>0</v>
      </c>
      <c r="K47" s="23">
        <f t="shared" si="23"/>
        <v>0</v>
      </c>
      <c r="L47" s="23">
        <f t="shared" si="23"/>
        <v>0</v>
      </c>
      <c r="M47" s="23">
        <f t="shared" si="23"/>
        <v>0</v>
      </c>
      <c r="N47" s="23">
        <f t="shared" si="23"/>
        <v>0</v>
      </c>
      <c r="O47" s="23">
        <f t="shared" ref="O47:O48" si="27">M47*2</f>
        <v>0</v>
      </c>
      <c r="P47" s="57">
        <f t="shared" si="18"/>
        <v>0</v>
      </c>
      <c r="Q47" s="72">
        <f t="shared" si="16"/>
        <v>0</v>
      </c>
    </row>
    <row r="48">
      <c r="A48" s="36" t="s">
        <v>42</v>
      </c>
      <c r="B48" s="2">
        <f>' P&amp;L 2027'!B45</f>
        <v>0</v>
      </c>
      <c r="C48" s="10">
        <f>' P&amp;L 2027'!D46</f>
        <v>19622.64151</v>
      </c>
      <c r="D48" s="23">
        <f t="shared" si="24"/>
        <v>1509.433962</v>
      </c>
      <c r="E48" s="23">
        <f t="shared" si="25"/>
        <v>1509.433962</v>
      </c>
      <c r="F48" s="23">
        <f t="shared" ref="F48:N48" si="26">D48</f>
        <v>1509.433962</v>
      </c>
      <c r="G48" s="23">
        <f t="shared" si="26"/>
        <v>1509.433962</v>
      </c>
      <c r="H48" s="23">
        <f t="shared" si="26"/>
        <v>1509.433962</v>
      </c>
      <c r="I48" s="23">
        <f t="shared" si="26"/>
        <v>1509.433962</v>
      </c>
      <c r="J48" s="23">
        <f t="shared" si="26"/>
        <v>1509.433962</v>
      </c>
      <c r="K48" s="23">
        <f t="shared" si="26"/>
        <v>1509.433962</v>
      </c>
      <c r="L48" s="23">
        <f t="shared" si="26"/>
        <v>1509.433962</v>
      </c>
      <c r="M48" s="23">
        <f t="shared" si="26"/>
        <v>1509.433962</v>
      </c>
      <c r="N48" s="23">
        <f t="shared" si="26"/>
        <v>1509.433962</v>
      </c>
      <c r="O48" s="23">
        <f t="shared" si="27"/>
        <v>3018.867925</v>
      </c>
      <c r="P48" s="57">
        <f t="shared" si="18"/>
        <v>19622.64151</v>
      </c>
      <c r="Q48" s="72">
        <f t="shared" si="16"/>
        <v>0</v>
      </c>
    </row>
    <row r="49">
      <c r="A49" s="36" t="s">
        <v>72</v>
      </c>
      <c r="B49" s="2">
        <f>' P&amp;L 2027'!B46</f>
        <v>1</v>
      </c>
      <c r="C49" s="10">
        <f>' P&amp;L 2027'!D47</f>
        <v>12000</v>
      </c>
      <c r="D49" s="23">
        <f t="shared" ref="D49:D50" si="29">C49/12</f>
        <v>1000</v>
      </c>
      <c r="E49" s="23">
        <f t="shared" si="25"/>
        <v>1000</v>
      </c>
      <c r="F49" s="23">
        <f t="shared" ref="F49:O49" si="28">E49</f>
        <v>1000</v>
      </c>
      <c r="G49" s="23">
        <f t="shared" si="28"/>
        <v>1000</v>
      </c>
      <c r="H49" s="23">
        <f t="shared" si="28"/>
        <v>1000</v>
      </c>
      <c r="I49" s="23">
        <f t="shared" si="28"/>
        <v>1000</v>
      </c>
      <c r="J49" s="23">
        <f t="shared" si="28"/>
        <v>1000</v>
      </c>
      <c r="K49" s="23">
        <f t="shared" si="28"/>
        <v>1000</v>
      </c>
      <c r="L49" s="23">
        <f t="shared" si="28"/>
        <v>1000</v>
      </c>
      <c r="M49" s="23">
        <f t="shared" si="28"/>
        <v>1000</v>
      </c>
      <c r="N49" s="23">
        <f t="shared" si="28"/>
        <v>1000</v>
      </c>
      <c r="O49" s="23">
        <f t="shared" si="28"/>
        <v>1000</v>
      </c>
      <c r="P49" s="57">
        <f t="shared" si="18"/>
        <v>12000</v>
      </c>
      <c r="Q49" s="72">
        <f t="shared" si="16"/>
        <v>0</v>
      </c>
    </row>
    <row r="50">
      <c r="A50" s="43" t="s">
        <v>73</v>
      </c>
      <c r="B50" s="2">
        <f>' P&amp;L 2027'!B47</f>
        <v>1</v>
      </c>
      <c r="C50" s="10">
        <f>' P&amp;L 2027'!D48</f>
        <v>6000</v>
      </c>
      <c r="D50" s="58">
        <f t="shared" si="29"/>
        <v>500</v>
      </c>
      <c r="E50" s="58">
        <f t="shared" si="25"/>
        <v>500</v>
      </c>
      <c r="F50" s="58">
        <f>D50</f>
        <v>500</v>
      </c>
      <c r="G50" s="58">
        <f>F50</f>
        <v>500</v>
      </c>
      <c r="H50" s="58">
        <f>F50</f>
        <v>500</v>
      </c>
      <c r="I50" s="58">
        <f>H50</f>
        <v>500</v>
      </c>
      <c r="J50" s="58">
        <f>H50</f>
        <v>500</v>
      </c>
      <c r="K50" s="58">
        <f>J50</f>
        <v>500</v>
      </c>
      <c r="L50" s="58">
        <f>J50</f>
        <v>500</v>
      </c>
      <c r="M50" s="58">
        <f>L50</f>
        <v>500</v>
      </c>
      <c r="N50" s="58">
        <f>L50</f>
        <v>500</v>
      </c>
      <c r="O50" s="58">
        <f>N50</f>
        <v>500</v>
      </c>
      <c r="P50" s="57">
        <f t="shared" si="18"/>
        <v>6000</v>
      </c>
      <c r="Q50" s="72">
        <f t="shared" si="16"/>
        <v>0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</row>
    <row r="51">
      <c r="A51" s="34" t="s">
        <v>47</v>
      </c>
      <c r="B51" s="2">
        <f>' P&amp;L 2027'!B48</f>
        <v>1</v>
      </c>
      <c r="C51" s="10">
        <f>' P&amp;L 2027'!D49</f>
        <v>191320.7547</v>
      </c>
      <c r="D51" s="73">
        <f t="shared" ref="D51:P51" si="30">sum(D42:D50)</f>
        <v>15707.54717</v>
      </c>
      <c r="E51" s="73">
        <f t="shared" si="30"/>
        <v>15707.54717</v>
      </c>
      <c r="F51" s="73">
        <f t="shared" si="30"/>
        <v>15707.54717</v>
      </c>
      <c r="G51" s="73">
        <f t="shared" si="30"/>
        <v>15707.54717</v>
      </c>
      <c r="H51" s="73">
        <f t="shared" si="30"/>
        <v>15707.54717</v>
      </c>
      <c r="I51" s="73">
        <f t="shared" si="30"/>
        <v>15707.54717</v>
      </c>
      <c r="J51" s="73">
        <f t="shared" si="30"/>
        <v>15707.54717</v>
      </c>
      <c r="K51" s="73">
        <f t="shared" si="30"/>
        <v>15707.54717</v>
      </c>
      <c r="L51" s="73">
        <f t="shared" si="30"/>
        <v>15707.54717</v>
      </c>
      <c r="M51" s="73">
        <f t="shared" si="30"/>
        <v>15707.54717</v>
      </c>
      <c r="N51" s="73">
        <f t="shared" si="30"/>
        <v>15707.54717</v>
      </c>
      <c r="O51" s="73">
        <f t="shared" si="30"/>
        <v>18537.73585</v>
      </c>
      <c r="P51" s="41">
        <f t="shared" si="30"/>
        <v>191320.7547</v>
      </c>
      <c r="Q51" s="72">
        <f t="shared" si="16"/>
        <v>0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</row>
    <row r="52">
      <c r="A52" s="42"/>
      <c r="B52" s="2" t="str">
        <f>' P&amp;L 2027'!B49</f>
        <v/>
      </c>
      <c r="C52" s="10" t="str">
        <f>' P&amp;L 2027'!D50</f>
        <v/>
      </c>
      <c r="P52" s="55"/>
      <c r="Q52" s="72">
        <f t="shared" si="16"/>
        <v>0</v>
      </c>
    </row>
    <row r="53">
      <c r="A53" s="86" t="s">
        <v>48</v>
      </c>
      <c r="B53" s="13" t="str">
        <f>' P&amp;L 2027'!B50</f>
        <v/>
      </c>
      <c r="C53" s="14">
        <f>' P&amp;L 2027'!D51</f>
        <v>322677.7358</v>
      </c>
      <c r="D53" s="87">
        <f t="shared" ref="D53:P53" si="31">D38-D51</f>
        <v>100687.9245</v>
      </c>
      <c r="E53" s="87">
        <f t="shared" si="31"/>
        <v>7767.169811</v>
      </c>
      <c r="F53" s="87">
        <f t="shared" si="31"/>
        <v>7767.169811</v>
      </c>
      <c r="G53" s="87">
        <f t="shared" si="31"/>
        <v>7767.169811</v>
      </c>
      <c r="H53" s="87">
        <f t="shared" si="31"/>
        <v>7767.169811</v>
      </c>
      <c r="I53" s="87">
        <f t="shared" si="31"/>
        <v>7767.169811</v>
      </c>
      <c r="J53" s="87">
        <f t="shared" si="31"/>
        <v>19382.26415</v>
      </c>
      <c r="K53" s="87">
        <f t="shared" si="31"/>
        <v>19382.26415</v>
      </c>
      <c r="L53" s="87">
        <f t="shared" si="31"/>
        <v>19382.26415</v>
      </c>
      <c r="M53" s="87">
        <f t="shared" si="31"/>
        <v>19382.26415</v>
      </c>
      <c r="N53" s="87">
        <f t="shared" si="31"/>
        <v>19382.26415</v>
      </c>
      <c r="O53" s="87">
        <f t="shared" si="31"/>
        <v>16552.07547</v>
      </c>
      <c r="P53" s="88">
        <f t="shared" si="31"/>
        <v>252987.1698</v>
      </c>
      <c r="Q53" s="30">
        <f t="shared" si="16"/>
        <v>69690.56604</v>
      </c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</row>
    <row r="54">
      <c r="A54" s="36" t="s">
        <v>49</v>
      </c>
      <c r="B54" s="2" t="str">
        <f>' P&amp;L 2027'!B51</f>
        <v/>
      </c>
      <c r="C54" s="10">
        <f>' P&amp;L 2027'!D52</f>
        <v>0</v>
      </c>
      <c r="D54" s="10">
        <v>0.0</v>
      </c>
      <c r="E54" s="10">
        <v>0.0</v>
      </c>
      <c r="F54" s="10">
        <v>0.0</v>
      </c>
      <c r="G54" s="10">
        <v>0.0</v>
      </c>
      <c r="H54" s="10">
        <v>0.0</v>
      </c>
      <c r="I54" s="10">
        <v>0.0</v>
      </c>
      <c r="J54" s="10">
        <v>0.0</v>
      </c>
      <c r="K54" s="10">
        <v>0.0</v>
      </c>
      <c r="L54" s="10">
        <v>0.0</v>
      </c>
      <c r="M54" s="10">
        <v>0.0</v>
      </c>
      <c r="N54" s="10">
        <v>0.0</v>
      </c>
      <c r="O54" s="10">
        <v>0.0</v>
      </c>
      <c r="P54" s="57">
        <f>SUM(H54:O54)</f>
        <v>0</v>
      </c>
      <c r="Q54" s="72">
        <f t="shared" si="16"/>
        <v>0</v>
      </c>
    </row>
    <row r="55">
      <c r="A55" s="86" t="s">
        <v>50</v>
      </c>
      <c r="B55" s="13" t="str">
        <f>' P&amp;L 2027'!B52</f>
        <v/>
      </c>
      <c r="C55" s="14">
        <f>' P&amp;L 2027'!D53</f>
        <v>322677.7358</v>
      </c>
      <c r="D55" s="87">
        <f t="shared" ref="D55:P55" si="32">D53-D54</f>
        <v>100687.9245</v>
      </c>
      <c r="E55" s="87">
        <f t="shared" si="32"/>
        <v>7767.169811</v>
      </c>
      <c r="F55" s="87">
        <f t="shared" si="32"/>
        <v>7767.169811</v>
      </c>
      <c r="G55" s="87">
        <f t="shared" si="32"/>
        <v>7767.169811</v>
      </c>
      <c r="H55" s="87">
        <f t="shared" si="32"/>
        <v>7767.169811</v>
      </c>
      <c r="I55" s="87">
        <f t="shared" si="32"/>
        <v>7767.169811</v>
      </c>
      <c r="J55" s="87">
        <f t="shared" si="32"/>
        <v>19382.26415</v>
      </c>
      <c r="K55" s="87">
        <f t="shared" si="32"/>
        <v>19382.26415</v>
      </c>
      <c r="L55" s="87">
        <f t="shared" si="32"/>
        <v>19382.26415</v>
      </c>
      <c r="M55" s="87">
        <f t="shared" si="32"/>
        <v>19382.26415</v>
      </c>
      <c r="N55" s="87">
        <f t="shared" si="32"/>
        <v>19382.26415</v>
      </c>
      <c r="O55" s="87">
        <f t="shared" si="32"/>
        <v>16552.07547</v>
      </c>
      <c r="P55" s="88">
        <f t="shared" si="32"/>
        <v>252987.1698</v>
      </c>
      <c r="Q55" s="30">
        <f t="shared" si="16"/>
        <v>69690.56604</v>
      </c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</row>
    <row r="56">
      <c r="A56" s="36" t="s">
        <v>74</v>
      </c>
      <c r="B56" s="2" t="str">
        <f>' P&amp;L 2027'!B53</f>
        <v/>
      </c>
      <c r="C56" s="10">
        <f>' P&amp;L 2027'!D54</f>
        <v>-124150.9434</v>
      </c>
      <c r="D56" s="10"/>
      <c r="E56" s="10"/>
      <c r="F56" s="10"/>
      <c r="G56" s="10"/>
      <c r="H56" s="10">
        <v>0.0</v>
      </c>
      <c r="I56" s="10">
        <v>0.0</v>
      </c>
      <c r="J56" s="10">
        <v>0.0</v>
      </c>
      <c r="K56" s="10">
        <v>0.0</v>
      </c>
      <c r="L56" s="10">
        <v>0.0</v>
      </c>
      <c r="M56" s="10">
        <v>0.0</v>
      </c>
      <c r="N56" s="10">
        <v>0.0</v>
      </c>
      <c r="O56" s="10">
        <v>0.0</v>
      </c>
      <c r="P56" s="57">
        <f>C56</f>
        <v>-124150.9434</v>
      </c>
      <c r="Q56" s="72">
        <f t="shared" si="16"/>
        <v>0</v>
      </c>
    </row>
    <row r="57">
      <c r="A57" s="75" t="s">
        <v>51</v>
      </c>
      <c r="B57" s="2" t="str">
        <f>' P&amp;L 2027'!B54</f>
        <v/>
      </c>
      <c r="C57" s="10">
        <f>' P&amp;L 2027'!D55</f>
        <v>39705.35849</v>
      </c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89">
        <f>C57</f>
        <v>39705.35849</v>
      </c>
      <c r="P57" s="90">
        <f>O57</f>
        <v>39705.35849</v>
      </c>
      <c r="Q57" s="72">
        <f t="shared" si="16"/>
        <v>0</v>
      </c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</row>
    <row r="58">
      <c r="A58" s="79" t="s">
        <v>52</v>
      </c>
      <c r="B58" s="80" t="str">
        <f>' P&amp;L 2027'!B55</f>
        <v/>
      </c>
      <c r="C58" s="82">
        <f>' P&amp;L 2027'!D56</f>
        <v>282972.3774</v>
      </c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3">
        <f>P55-P57</f>
        <v>213281.8113</v>
      </c>
      <c r="Q58" s="72">
        <f t="shared" si="16"/>
        <v>69690.56604</v>
      </c>
      <c r="R58" s="91" t="s">
        <v>109</v>
      </c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  <row r="1001">
      <c r="B1001" s="4"/>
    </row>
    <row r="1002">
      <c r="B1002" s="4"/>
    </row>
    <row r="1003">
      <c r="B1003" s="4"/>
    </row>
    <row r="1004">
      <c r="B1004" s="4"/>
    </row>
    <row r="1005">
      <c r="B1005" s="4"/>
    </row>
    <row r="1006">
      <c r="B1006" s="4"/>
    </row>
    <row r="1007">
      <c r="B1007" s="4"/>
    </row>
    <row r="1008">
      <c r="B1008" s="4"/>
    </row>
    <row r="1009">
      <c r="B1009" s="4"/>
    </row>
    <row r="1010">
      <c r="B1010" s="4"/>
    </row>
    <row r="1011">
      <c r="B1011" s="4"/>
    </row>
    <row r="1012">
      <c r="B1012" s="4"/>
    </row>
    <row r="1013">
      <c r="B1013" s="4"/>
    </row>
    <row r="1014">
      <c r="B1014" s="4"/>
    </row>
    <row r="1015">
      <c r="B1015" s="4"/>
    </row>
    <row r="1016">
      <c r="B1016" s="4"/>
    </row>
    <row r="1017">
      <c r="B1017" s="4"/>
    </row>
    <row r="1018">
      <c r="B1018" s="4"/>
    </row>
    <row r="1019">
      <c r="B1019" s="4"/>
    </row>
  </sheetData>
  <mergeCells count="2">
    <mergeCell ref="A2:P2"/>
    <mergeCell ref="A3:P3"/>
  </mergeCells>
  <drawing r:id="rId4"/>
  <legacyDrawing r:id="rId5"/>
</worksheet>
</file>